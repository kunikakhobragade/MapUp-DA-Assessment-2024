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hp\Desktop\"/>
    </mc:Choice>
  </mc:AlternateContent>
  <xr:revisionPtr revIDLastSave="0" documentId="8_{2FBD05CE-BBCE-4A61-80A5-FFCA1485D7F2}" xr6:coauthVersionLast="47" xr6:coauthVersionMax="47" xr10:uidLastSave="{00000000-0000-0000-0000-000000000000}"/>
  <bookViews>
    <workbookView xWindow="-108" yWindow="-108" windowWidth="23256" windowHeight="12456" tabRatio="849" activeTab="10" xr2:uid="{00000000-000D-0000-FFFF-FFFF00000000}"/>
  </bookViews>
  <sheets>
    <sheet name="Instructions" sheetId="22" r:id="rId1"/>
    <sheet name="Dataset" sheetId="1" r:id="rId2"/>
    <sheet name="Task_1" sheetId="15" r:id="rId3"/>
    <sheet name="Task_1.1" sheetId="25" r:id="rId4"/>
    <sheet name="Task_1.2" sheetId="26" r:id="rId5"/>
    <sheet name="Task_1.3" sheetId="27" r:id="rId6"/>
    <sheet name="Task_1.4" sheetId="28" r:id="rId7"/>
    <sheet name="Task_2" sheetId="18" r:id="rId8"/>
    <sheet name="Task_3" sheetId="16" r:id="rId9"/>
    <sheet name="Task_4" sheetId="19" r:id="rId10"/>
    <sheet name="Task_5" sheetId="20" r:id="rId11"/>
  </sheets>
  <functionGroups builtInGroupCount="19"/>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 i="20" l="1"/>
  <c r="C23" i="20"/>
  <c r="C25" i="20"/>
  <c r="C26" i="20"/>
  <c r="C27" i="20"/>
  <c r="C28" i="20"/>
  <c r="C29" i="20"/>
  <c r="C30" i="20"/>
  <c r="C31" i="20"/>
  <c r="C32" i="20"/>
  <c r="C33" i="20"/>
  <c r="C34" i="20"/>
  <c r="C35" i="20"/>
  <c r="C22" i="19" a="1"/>
  <c r="C22" i="19"/>
  <c r="F7" i="18"/>
  <c r="F8" i="18"/>
  <c r="F29" i="18" s="1"/>
  <c r="F9" i="18"/>
  <c r="F10" i="18"/>
  <c r="F11" i="18"/>
  <c r="F12" i="18"/>
  <c r="F13" i="18"/>
  <c r="F14" i="18"/>
  <c r="F15" i="18"/>
  <c r="F16" i="18"/>
  <c r="F17" i="18"/>
  <c r="F18" i="18"/>
  <c r="F19" i="18"/>
  <c r="F20" i="18"/>
  <c r="F21" i="18"/>
  <c r="F22" i="18"/>
  <c r="F23" i="18"/>
  <c r="F24" i="18"/>
  <c r="F25" i="18"/>
  <c r="F26" i="18"/>
  <c r="F27" i="18"/>
  <c r="F6" i="18"/>
  <c r="F30" i="18" s="1"/>
  <c r="E7" i="18"/>
  <c r="E8" i="18"/>
  <c r="E9" i="18"/>
  <c r="E29" i="18" s="1"/>
  <c r="E10" i="18"/>
  <c r="E11" i="18"/>
  <c r="E12" i="18"/>
  <c r="E13" i="18"/>
  <c r="E14" i="18"/>
  <c r="E15" i="18"/>
  <c r="E16" i="18"/>
  <c r="E17" i="18"/>
  <c r="E18" i="18"/>
  <c r="E19" i="18"/>
  <c r="E20" i="18"/>
  <c r="E21" i="18"/>
  <c r="E22" i="18"/>
  <c r="E23" i="18"/>
  <c r="E24" i="18"/>
  <c r="E25" i="18"/>
  <c r="E26" i="18"/>
  <c r="E27" i="18"/>
  <c r="E6" i="18"/>
  <c r="E30" i="18" s="1"/>
  <c r="D7" i="18"/>
  <c r="D8" i="18"/>
  <c r="D9" i="18"/>
  <c r="D10" i="18"/>
  <c r="D11" i="18"/>
  <c r="D12" i="18"/>
  <c r="D13" i="18"/>
  <c r="D30" i="18" s="1"/>
  <c r="D14" i="18"/>
  <c r="D15" i="18"/>
  <c r="D16" i="18"/>
  <c r="D17" i="18"/>
  <c r="D18" i="18"/>
  <c r="D19" i="18"/>
  <c r="D20" i="18"/>
  <c r="D21" i="18"/>
  <c r="D22" i="18"/>
  <c r="D23" i="18"/>
  <c r="D24" i="18"/>
  <c r="D25" i="18"/>
  <c r="D26" i="18"/>
  <c r="D27" i="18"/>
  <c r="D6" i="18"/>
  <c r="D28" i="18" s="1"/>
  <c r="C7" i="18"/>
  <c r="C30" i="18" s="1"/>
  <c r="C8" i="18"/>
  <c r="C9" i="18"/>
  <c r="C10" i="18"/>
  <c r="C11" i="18"/>
  <c r="C12" i="18"/>
  <c r="C13" i="18"/>
  <c r="C14" i="18"/>
  <c r="C15" i="18"/>
  <c r="C16" i="18"/>
  <c r="C17" i="18"/>
  <c r="C18" i="18"/>
  <c r="C19" i="18"/>
  <c r="C20" i="18"/>
  <c r="C21" i="18"/>
  <c r="C22" i="18"/>
  <c r="C23" i="18"/>
  <c r="C24" i="18"/>
  <c r="C25" i="18"/>
  <c r="C26" i="18"/>
  <c r="C27" i="18"/>
  <c r="C6" i="18"/>
  <c r="C28" i="18" s="1"/>
  <c r="B6" i="18"/>
  <c r="B30" i="18" s="1"/>
  <c r="B9" i="18"/>
  <c r="B10" i="18"/>
  <c r="B29" i="18" s="1"/>
  <c r="B11" i="18"/>
  <c r="B12" i="18"/>
  <c r="B13" i="18"/>
  <c r="B14" i="18"/>
  <c r="B15" i="18"/>
  <c r="B16" i="18"/>
  <c r="B17" i="18"/>
  <c r="B18" i="18"/>
  <c r="B19" i="18"/>
  <c r="B20" i="18"/>
  <c r="B21" i="18"/>
  <c r="B22" i="18"/>
  <c r="B23" i="18"/>
  <c r="B24" i="18"/>
  <c r="B25" i="18"/>
  <c r="B26" i="18"/>
  <c r="B27" i="18"/>
  <c r="B7" i="18"/>
  <c r="B8" i="18"/>
  <c r="B3" i="27"/>
  <c r="D29" i="18" l="1"/>
  <c r="C29" i="18"/>
  <c r="F28" i="18"/>
  <c r="B28" i="18"/>
  <c r="E28" i="1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<sst xmlns="http://schemas.openxmlformats.org/spreadsheetml/2006/main" count="572" uniqueCount="188">
  <si>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</si>
  <si>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</si>
  <si>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</si>
  <si>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</si>
  <si>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</si>
  <si>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</si>
  <si>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</si>
  <si>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</si>
  <si>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</si>
  <si>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</si>
  <si>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</si>
  <si>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</si>
  <si>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</si>
  <si>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</si>
  <si>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</si>
  <si>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</si>
  <si>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</si>
  <si>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</si>
  <si>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</si>
  <si>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</si>
  <si>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</si>
  <si>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</si>
  <si>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</si>
  <si>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</si>
  <si>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</si>
  <si>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</si>
  <si>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</si>
  <si>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</si>
  <si>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</si>
  <si>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</si>
  <si>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</si>
  <si>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</si>
  <si>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</si>
  <si>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</si>
  <si>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</si>
  <si>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</si>
  <si>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</si>
  <si>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</si>
  <si>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</si>
  <si>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</si>
  <si>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</si>
  <si>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</si>
  <si>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</si>
  <si>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</si>
  <si>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</si>
  <si>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</si>
  <si>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</si>
  <si>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</si>
  <si>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</si>
  <si>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</si>
  <si>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</si>
  <si>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</si>
  <si>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</si>
  <si>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</si>
  <si>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</si>
  <si>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</si>
  <si>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</si>
  <si>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</si>
  <si>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</si>
  <si>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</si>
  <si>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</si>
  <si>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</si>
  <si>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</si>
  <si>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</si>
  <si>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</si>
  <si>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</si>
  <si>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</si>
  <si>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</si>
  <si>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</si>
  <si>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</si>
  <si>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</si>
  <si>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</si>
  <si>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</si>
  <si>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</si>
  <si>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</si>
  <si>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</si>
  <si>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</si>
  <si>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</si>
  <si>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</si>
  <si>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</si>
  <si>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</si>
  <si>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</si>
  <si>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</si>
  <si>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</si>
  <si>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</si>
  <si>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</si>
  <si>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</si>
  <si>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</si>
  <si>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</si>
  <si>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</si>
  <si>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</si>
  <si>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</si>
  <si>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</si>
  <si>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</si>
  <si>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</si>
  <si>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</si>
  <si>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</si>
  <si>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</si>
  <si>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</si>
  <si>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</si>
  <si>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</si>
  <si>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</si>
  <si>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</si>
  <si>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</si>
  <si>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</si>
  <si>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</si>
  <si>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</si>
  <si>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</si>
  <si>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</si>
  <si>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</si>
  <si>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</si>
  <si>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</si>
  <si>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</si>
  <si>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</si>
  <si>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</si>
  <si>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</si>
  <si>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</si>
  <si>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</si>
  <si>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</si>
  <si>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</si>
  <si>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</si>
  <si>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</si>
  <si>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</si>
  <si>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</si>
  <si>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</si>
  <si>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</si>
  <si>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</si>
  <si>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</si>
  <si>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</si>
  <si>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</si>
  <si>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</si>
  <si>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</si>
  <si>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</si>
  <si>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</si>
  <si>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</si>
  <si>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</si>
  <si>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</si>
  <si>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</si>
  <si>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</si>
  <si>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</si>
  <si>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</si>
  <si>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</si>
  <si>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</si>
  <si>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</si>
  <si>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</si>
  <si>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</si>
  <si>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</si>
  <si>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</si>
  <si>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</si>
  <si>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</si>
  <si>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</si>
  <si>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</si>
  <si>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</si>
  <si>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</si>
  <si>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</si>
  <si>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</si>
  <si>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</si>
  <si>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</si>
  <si>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</si>
  <si>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</si>
  <si>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</si>
  <si>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</si>
  <si>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</si>
  <si>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</si>
  <si>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</si>
  <si>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</si>
  <si>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</si>
  <si>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</si>
  <si>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</si>
  <si>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</si>
  <si>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</si>
  <si>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</si>
  <si>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</si>
  <si>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</si>
  <si>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</si>
  <si>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</si>
  <si>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</si>
  <si>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Task_1.1 - Highlight all '-1' values in red colour and all '0' values in green.</t>
  </si>
  <si>
    <t>Please paste formula used here=SUMIF('Dataset'!H:H, "&gt;20")</t>
  </si>
  <si>
    <t>I  have used the dataset present in the another sheet and used the formula i.e,=SUMIF('Dataset'!H:H, "&gt;20"). This formula  look at Column H in the "Dataset" tab and applying a condition as &gt;20. It will sum the elements which are greater than 20 in Column H labbeled 'car2' in Dataset.</t>
  </si>
  <si>
    <t>Now the Date column is in 'yyyy-mm-dd' format</t>
  </si>
  <si>
    <t>In this Question I have used vlookup function.</t>
  </si>
  <si>
    <t>I have used Text to Columns buit in functionality which splits the text by the delimeter(-). I copied the text of column 'values' to the column 'col_1' and then select the 'col_1' column then Go to Data then Text to Columns in the ribbon then choosing the delimiter as '-' and finish. It will split the text by '-' delimiter and according to the question the data is splitted in theri corresponding columns as per the example_table.</t>
  </si>
  <si>
    <r>
      <rPr>
        <b/>
        <sz val="14"/>
        <color rgb="FF000000"/>
        <rFont val="Calibri"/>
        <family val="2"/>
        <scheme val="minor"/>
      </rPr>
      <t>Text to Columns</t>
    </r>
    <r>
      <rPr>
        <sz val="14"/>
        <color rgb="FF000000"/>
        <rFont val="Calibri"/>
        <family val="2"/>
        <scheme val="minor"/>
      </rPr>
      <t xml:space="preserve"> buit-in functionality. </t>
    </r>
  </si>
  <si>
    <t>The formula used is 'SUM(IFERROR(C12:C21, 20))'.</t>
  </si>
  <si>
    <t>Here, The IFERROR finds the error (i.e, #N/A) in the sales column ranges from C12 to C21 and replace it with 20. Then 'SUM' function sum all the elements in the sales column and give the sum or answer as 600.</t>
  </si>
  <si>
    <t>INDEX($B$9:$J$18, MATCH(VLOOKUP(A23, $M$9:$N$18, 2, FALSE), $A$9:$A$18, 0), MATCH(VLOOKUP(B23, $M$9:$N$18, 2, FALSE), $B$9:$J$9, 0))</t>
  </si>
  <si>
    <t>The formula finds the row and column in Table A based on matching names in Table B for 'name_1' and 'name_2'column of Table C, then retrieves the corresponding value from Table A. The formula uses VLOOKUP to find the names corresponding to values in A23 and B23 from Table B. Then, MATCH is used to find the row and column in Table A where these names intersect. Finally, INDEX retrieves the value from Table A based on the row and column numbers found using MATCH.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</si>
</sst>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8">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FF00"/>
        <bgColor rgb="FF000000"/>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0" xfId="0" applyFont="1" applyAlignment="1">
      <alignment horizontal="center"/>
    </xf>
    <xf numFmtId="0" fontId="8" fillId="6" borderId="0" xfId="0" applyFont="1" applyFill="1" applyAlignment="1">
      <alignment horizontal="center"/>
    </xf>
    <xf numFmtId="0" fontId="7" fillId="7" borderId="0" xfId="0" applyFont="1" applyFill="1" applyAlignment="1">
      <alignment horizontal="center"/>
    </xf>
    <xf numFmtId="0" fontId="0" fillId="0" borderId="0" xfId="0" applyAlignment="1">
      <alignment horizontal="left" vertical="top" wrapText="1"/>
    </xf>
    <xf numFmtId="167" fontId="7" fillId="0" borderId="0" xfId="0" applyNumberFormat="1" applyFont="1"/>
    <xf numFmtId="167" fontId="3" fillId="0" borderId="0" xfId="0" applyNumberFormat="1" applyFont="1"/>
    <xf numFmtId="0" fontId="2" fillId="0" borderId="0" xfId="0" applyFont="1"/>
    <xf numFmtId="0" fontId="8" fillId="0" borderId="0" xfId="0" applyFont="1" applyAlignment="1">
      <alignment horizontal="left"/>
    </xf>
    <xf numFmtId="0" fontId="15" fillId="0" borderId="0" xfId="0" applyFont="1" applyAlignment="1">
      <alignment horizontal="left" wrapText="1"/>
    </xf>
    <xf numFmtId="0" fontId="3" fillId="0" borderId="0" xfId="0" applyFont="1" applyAlignment="1"/>
    <xf numFmtId="0" fontId="8" fillId="0" borderId="0" xfId="0" applyFont="1" applyAlignment="1">
      <alignment horizontal="left" wrapText="1"/>
    </xf>
    <xf numFmtId="0" fontId="9" fillId="0" borderId="0" xfId="0" applyFont="1" applyAlignment="1">
      <alignment horizontal="center"/>
    </xf>
    <xf numFmtId="0" fontId="8" fillId="0" borderId="12" xfId="0" applyFont="1" applyBorder="1"/>
    <xf numFmtId="0" fontId="8" fillId="0" borderId="8" xfId="0"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E15"/>
  <sheetViews>
    <sheetView zoomScaleNormal="100" workbookViewId="0">
      <selection activeCell="D22" sqref="D22"/>
    </sheetView>
  </sheetViews>
  <sheetFormatPr defaultColWidth="11" defaultRowHeight="13.8" x14ac:dyDescent="0.3"/>
  <cols>
    <col min="1" max="1" width="70.77734375" style="2" bestFit="1" customWidth="1"/>
    <col min="2" max="16384" width="11" style="2"/>
  </cols>
  <sheetData>
    <row r="1" spans="1:5" ht="18" x14ac:dyDescent="0.35">
      <c r="A1" s="40" t="s">
        <v>108</v>
      </c>
    </row>
    <row r="2" spans="1:5" x14ac:dyDescent="0.3">
      <c r="A2" s="2" t="s">
        <v>109</v>
      </c>
    </row>
    <row r="3" spans="1:5" x14ac:dyDescent="0.3">
      <c r="A3" s="2" t="s">
        <v>110</v>
      </c>
    </row>
    <row r="4" spans="1:5" ht="14.4" x14ac:dyDescent="0.3">
      <c r="A4" s="2" t="s">
        <v>176</v>
      </c>
      <c r="C4" s="1"/>
    </row>
    <row r="5" spans="1:5" x14ac:dyDescent="0.3">
      <c r="A5" s="2" t="s">
        <v>151</v>
      </c>
    </row>
    <row r="8" spans="1:5" x14ac:dyDescent="0.3">
      <c r="A8" s="2" t="s">
        <v>172</v>
      </c>
    </row>
    <row r="9" spans="1:5" x14ac:dyDescent="0.3">
      <c r="A9" s="37" t="s">
        <v>170</v>
      </c>
      <c r="B9" s="26" t="s">
        <v>168</v>
      </c>
    </row>
    <row r="10" spans="1:5" x14ac:dyDescent="0.3">
      <c r="A10" s="36" t="s">
        <v>171</v>
      </c>
      <c r="B10" s="38">
        <v>25</v>
      </c>
    </row>
    <row r="11" spans="1:5" x14ac:dyDescent="0.3">
      <c r="A11" s="36" t="s">
        <v>55</v>
      </c>
      <c r="B11" s="38">
        <v>30</v>
      </c>
    </row>
    <row r="12" spans="1:5" x14ac:dyDescent="0.3">
      <c r="A12" s="36" t="s">
        <v>56</v>
      </c>
      <c r="B12" s="38">
        <v>10</v>
      </c>
      <c r="E12" s="45"/>
    </row>
    <row r="13" spans="1:5" x14ac:dyDescent="0.3">
      <c r="A13" s="36" t="s">
        <v>85</v>
      </c>
      <c r="B13" s="38">
        <v>20</v>
      </c>
    </row>
    <row r="14" spans="1:5" x14ac:dyDescent="0.3">
      <c r="A14" s="36" t="s">
        <v>98</v>
      </c>
      <c r="B14" s="38">
        <v>40</v>
      </c>
    </row>
    <row r="15" spans="1:5" x14ac:dyDescent="0.3">
      <c r="A15" s="39"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zoomScaleNormal="100" workbookViewId="0">
      <selection activeCell="E23" sqref="E23"/>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8" t="s">
        <v>64</v>
      </c>
      <c r="B1" s="28" t="s">
        <v>43</v>
      </c>
      <c r="C1" s="28" t="s">
        <v>0</v>
      </c>
      <c r="D1" s="29" t="s">
        <v>1</v>
      </c>
      <c r="E1" s="28" t="s">
        <v>2</v>
      </c>
      <c r="F1" s="29" t="s">
        <v>3</v>
      </c>
      <c r="G1" s="30" t="s">
        <v>79</v>
      </c>
      <c r="H1" s="30" t="s">
        <v>65</v>
      </c>
      <c r="I1" s="30" t="s">
        <v>66</v>
      </c>
      <c r="J1" s="31" t="s">
        <v>67</v>
      </c>
      <c r="K1" s="31" t="s">
        <v>68</v>
      </c>
      <c r="L1" s="31" t="s">
        <v>69</v>
      </c>
      <c r="M1" s="30" t="s">
        <v>70</v>
      </c>
      <c r="N1" s="30" t="s">
        <v>71</v>
      </c>
      <c r="O1" s="30" t="s">
        <v>72</v>
      </c>
      <c r="P1" s="31" t="s">
        <v>73</v>
      </c>
      <c r="Q1" s="31" t="s">
        <v>74</v>
      </c>
      <c r="R1" s="31" t="s">
        <v>75</v>
      </c>
      <c r="S1" s="30" t="s">
        <v>80</v>
      </c>
      <c r="T1" s="30" t="s">
        <v>76</v>
      </c>
      <c r="U1" s="31" t="s">
        <v>81</v>
      </c>
      <c r="V1" s="31" t="s">
        <v>77</v>
      </c>
      <c r="W1" s="31" t="s">
        <v>78</v>
      </c>
      <c r="X1" s="3"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7">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7">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7">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7">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7">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7">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7">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7">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7">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7">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7">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7">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7">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7">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7">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7">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7">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7">
        <v>45162</v>
      </c>
    </row>
  </sheetData>
  <conditionalFormatting sqref="A1:A1048576">
    <cfRule type="duplicateValues" dxfId="1" priority="2"/>
  </conditionalFormatting>
  <conditionalFormatting sqref="B1:B1048576">
    <cfRule type="duplicateValues" dxfId="0"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X93"/>
  <sheetViews>
    <sheetView zoomScale="97" zoomScaleNormal="100" workbookViewId="0">
      <selection activeCell="C18" sqref="C18"/>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8.109375" style="1" customWidth="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5" t="s">
        <v>178</v>
      </c>
      <c r="E5" s="1">
        <v>10</v>
      </c>
    </row>
    <row r="6" spans="1:5" x14ac:dyDescent="0.3">
      <c r="A6" s="6">
        <v>4</v>
      </c>
      <c r="B6" s="2" t="s">
        <v>106</v>
      </c>
      <c r="C6" s="2"/>
      <c r="E6" s="1">
        <v>5</v>
      </c>
    </row>
    <row r="7" spans="1:5" x14ac:dyDescent="0.3">
      <c r="A7" s="2"/>
      <c r="B7" s="2"/>
      <c r="C7" s="2"/>
    </row>
    <row r="53" spans="4:24" x14ac:dyDescent="0.3">
      <c r="H53"/>
    </row>
    <row r="55" spans="4:24" x14ac:dyDescent="0.3">
      <c r="D55" s="24"/>
      <c r="F55" s="24"/>
      <c r="X55" s="27"/>
    </row>
    <row r="56" spans="4:24" x14ac:dyDescent="0.3">
      <c r="D56" s="24"/>
      <c r="F56" s="24"/>
      <c r="X56" s="27"/>
    </row>
    <row r="57" spans="4:24" x14ac:dyDescent="0.3">
      <c r="D57" s="24"/>
      <c r="F57" s="24"/>
      <c r="X57" s="27"/>
    </row>
    <row r="58" spans="4:24" x14ac:dyDescent="0.3">
      <c r="D58" s="24"/>
      <c r="F58" s="24"/>
      <c r="X58" s="27"/>
    </row>
    <row r="59" spans="4:24" x14ac:dyDescent="0.3">
      <c r="D59" s="24"/>
      <c r="F59" s="24"/>
      <c r="X59" s="27"/>
    </row>
    <row r="60" spans="4:24" x14ac:dyDescent="0.3">
      <c r="D60" s="24"/>
      <c r="F60" s="24"/>
      <c r="X60" s="27"/>
    </row>
    <row r="61" spans="4:24" x14ac:dyDescent="0.3">
      <c r="D61" s="24"/>
      <c r="F61" s="24"/>
      <c r="X61" s="27"/>
    </row>
    <row r="62" spans="4:24" x14ac:dyDescent="0.3">
      <c r="D62" s="24"/>
      <c r="F62" s="24"/>
      <c r="X62" s="27"/>
    </row>
    <row r="63" spans="4:24" x14ac:dyDescent="0.3">
      <c r="D63" s="24"/>
      <c r="F63" s="24"/>
      <c r="X63" s="27"/>
    </row>
    <row r="64" spans="4:24" x14ac:dyDescent="0.3">
      <c r="D64" s="24"/>
      <c r="F64" s="24"/>
      <c r="X64" s="27"/>
    </row>
    <row r="65" spans="4:24" x14ac:dyDescent="0.3">
      <c r="D65" s="24"/>
      <c r="F65" s="24"/>
      <c r="X65" s="27"/>
    </row>
    <row r="66" spans="4:24" x14ac:dyDescent="0.3">
      <c r="D66" s="24"/>
      <c r="F66" s="24"/>
      <c r="X66" s="27"/>
    </row>
    <row r="67" spans="4:24" x14ac:dyDescent="0.3">
      <c r="D67" s="24"/>
      <c r="F67" s="24"/>
      <c r="X67" s="27"/>
    </row>
    <row r="68" spans="4:24" x14ac:dyDescent="0.3">
      <c r="D68" s="24"/>
      <c r="F68" s="24"/>
      <c r="X68" s="27"/>
    </row>
    <row r="69" spans="4:24" x14ac:dyDescent="0.3">
      <c r="D69" s="24"/>
      <c r="F69" s="24"/>
      <c r="X69" s="27"/>
    </row>
    <row r="70" spans="4:24" x14ac:dyDescent="0.3">
      <c r="D70" s="24"/>
      <c r="F70" s="24"/>
      <c r="X70" s="27"/>
    </row>
    <row r="71" spans="4:24" x14ac:dyDescent="0.3">
      <c r="D71" s="24"/>
      <c r="F71" s="24"/>
      <c r="X71" s="27"/>
    </row>
    <row r="72" spans="4:24" x14ac:dyDescent="0.3">
      <c r="D72" s="24"/>
      <c r="F72" s="24"/>
      <c r="X72" s="27"/>
    </row>
    <row r="73" spans="4:24" x14ac:dyDescent="0.3">
      <c r="D73" s="24"/>
      <c r="F73" s="24"/>
      <c r="X73" s="27"/>
    </row>
    <row r="74" spans="4:24" x14ac:dyDescent="0.3">
      <c r="D74" s="24"/>
      <c r="F74" s="24"/>
      <c r="X74" s="27"/>
    </row>
    <row r="75" spans="4:24" x14ac:dyDescent="0.3">
      <c r="D75" s="24"/>
      <c r="F75" s="24"/>
      <c r="X75" s="27"/>
    </row>
    <row r="76" spans="4:24" x14ac:dyDescent="0.3">
      <c r="D76" s="24"/>
      <c r="F76" s="24"/>
      <c r="X76" s="27"/>
    </row>
    <row r="77" spans="4:24" x14ac:dyDescent="0.3">
      <c r="D77" s="24"/>
      <c r="F77" s="24"/>
      <c r="X77" s="27"/>
    </row>
    <row r="78" spans="4:24" x14ac:dyDescent="0.3">
      <c r="D78" s="24"/>
      <c r="F78" s="24"/>
      <c r="X78" s="27"/>
    </row>
    <row r="79" spans="4:24" x14ac:dyDescent="0.3">
      <c r="D79" s="24"/>
      <c r="F79" s="24"/>
      <c r="X79" s="27"/>
    </row>
    <row r="80" spans="4:24" x14ac:dyDescent="0.3">
      <c r="D80" s="24"/>
      <c r="F80" s="24"/>
      <c r="X80" s="27"/>
    </row>
    <row r="81" spans="4:24" x14ac:dyDescent="0.3">
      <c r="D81" s="24"/>
      <c r="F81" s="24"/>
      <c r="X81" s="27"/>
    </row>
    <row r="82" spans="4:24" x14ac:dyDescent="0.3">
      <c r="D82" s="24"/>
      <c r="F82" s="24"/>
      <c r="X82" s="27"/>
    </row>
    <row r="83" spans="4:24" x14ac:dyDescent="0.3">
      <c r="D83" s="24"/>
      <c r="F83" s="24"/>
      <c r="X83" s="27"/>
    </row>
    <row r="84" spans="4:24" x14ac:dyDescent="0.3">
      <c r="D84" s="24"/>
      <c r="F84" s="24"/>
      <c r="X84" s="27"/>
    </row>
    <row r="85" spans="4:24" x14ac:dyDescent="0.3">
      <c r="D85" s="24"/>
      <c r="F85" s="24"/>
      <c r="X85" s="27"/>
    </row>
    <row r="86" spans="4:24" x14ac:dyDescent="0.3">
      <c r="D86" s="24"/>
      <c r="F86" s="24"/>
      <c r="X86" s="27"/>
    </row>
    <row r="87" spans="4:24" x14ac:dyDescent="0.3">
      <c r="D87" s="24"/>
      <c r="F87" s="24"/>
      <c r="X87" s="27"/>
    </row>
    <row r="88" spans="4:24" x14ac:dyDescent="0.3">
      <c r="D88" s="24"/>
      <c r="F88" s="24"/>
      <c r="X88" s="27"/>
    </row>
    <row r="89" spans="4:24" x14ac:dyDescent="0.3">
      <c r="D89" s="24"/>
      <c r="F89" s="24"/>
      <c r="X89" s="27"/>
    </row>
    <row r="90" spans="4:24" x14ac:dyDescent="0.3">
      <c r="D90" s="24"/>
      <c r="F90" s="24"/>
      <c r="X90" s="27"/>
    </row>
    <row r="91" spans="4:24" x14ac:dyDescent="0.3">
      <c r="D91" s="24"/>
      <c r="F91" s="24"/>
      <c r="X91" s="27"/>
    </row>
    <row r="92" spans="4:24" x14ac:dyDescent="0.3">
      <c r="D92" s="24"/>
      <c r="F92" s="24"/>
      <c r="X92" s="27"/>
    </row>
    <row r="93" spans="4:24" x14ac:dyDescent="0.3">
      <c r="D93" s="24"/>
      <c r="F93" s="24"/>
      <c r="X93" s="27"/>
    </row>
  </sheetData>
  <conditionalFormatting sqref="A55:A93">
    <cfRule type="duplicateValues" dxfId="7" priority="5"/>
  </conditionalFormatting>
  <conditionalFormatting sqref="B55:B93">
    <cfRule type="duplicateValues" dxfId="6" priority="6"/>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C0584-0DFD-4D3F-BFB9-723B67C2A93C}">
  <dimension ref="A1:R42"/>
  <sheetViews>
    <sheetView workbookViewId="0">
      <selection sqref="A1:R1"/>
    </sheetView>
  </sheetViews>
  <sheetFormatPr defaultRowHeight="13.2" x14ac:dyDescent="0.25"/>
  <sheetData>
    <row r="1" spans="1:18" ht="13.8" x14ac:dyDescent="0.3">
      <c r="A1" s="46" t="s">
        <v>177</v>
      </c>
      <c r="B1" s="46"/>
      <c r="C1" s="46"/>
      <c r="D1" s="46"/>
      <c r="E1" s="46"/>
      <c r="F1" s="46"/>
      <c r="G1" s="46"/>
      <c r="H1" s="46"/>
      <c r="I1" s="46"/>
      <c r="J1" s="46"/>
      <c r="K1" s="46"/>
      <c r="L1" s="46"/>
      <c r="M1" s="46"/>
      <c r="N1" s="46"/>
      <c r="O1" s="46"/>
      <c r="P1" s="46"/>
      <c r="Q1" s="46"/>
      <c r="R1" s="46"/>
    </row>
    <row r="3" spans="1:18" ht="14.4" x14ac:dyDescent="0.3">
      <c r="A3" s="30" t="s">
        <v>79</v>
      </c>
      <c r="B3" s="30" t="s">
        <v>65</v>
      </c>
      <c r="C3" s="30" t="s">
        <v>66</v>
      </c>
      <c r="D3" s="31" t="s">
        <v>67</v>
      </c>
      <c r="E3" s="31" t="s">
        <v>68</v>
      </c>
      <c r="F3" s="31" t="s">
        <v>69</v>
      </c>
      <c r="G3" s="30" t="s">
        <v>70</v>
      </c>
      <c r="H3" s="30" t="s">
        <v>71</v>
      </c>
      <c r="I3" s="30" t="s">
        <v>72</v>
      </c>
      <c r="J3" s="31" t="s">
        <v>73</v>
      </c>
      <c r="K3" s="31" t="s">
        <v>74</v>
      </c>
      <c r="L3" s="31" t="s">
        <v>75</v>
      </c>
      <c r="M3" s="30" t="s">
        <v>80</v>
      </c>
      <c r="N3" s="30" t="s">
        <v>76</v>
      </c>
      <c r="O3" s="31" t="s">
        <v>81</v>
      </c>
      <c r="P3" s="31" t="s">
        <v>77</v>
      </c>
      <c r="Q3" s="31" t="s">
        <v>78</v>
      </c>
    </row>
    <row r="4" spans="1:18" ht="14.4" x14ac:dyDescent="0.3">
      <c r="A4" s="1">
        <v>2.7</v>
      </c>
      <c r="B4" s="1">
        <v>3.6</v>
      </c>
      <c r="C4" s="1">
        <v>4.2</v>
      </c>
      <c r="D4" s="1">
        <v>-1</v>
      </c>
      <c r="E4" s="1">
        <v>-1</v>
      </c>
      <c r="F4" s="1">
        <v>-1</v>
      </c>
      <c r="G4" s="1">
        <v>5.3</v>
      </c>
      <c r="H4" s="1">
        <v>7.6</v>
      </c>
      <c r="I4" s="1">
        <v>8.9</v>
      </c>
      <c r="J4" s="1">
        <v>2.7</v>
      </c>
      <c r="K4" s="1">
        <v>3.6</v>
      </c>
      <c r="L4" s="1">
        <v>4.2</v>
      </c>
      <c r="M4" s="1">
        <v>7.6</v>
      </c>
      <c r="N4" s="1">
        <v>8.9</v>
      </c>
      <c r="O4" s="1">
        <v>3.6</v>
      </c>
      <c r="P4" s="1">
        <v>4.2</v>
      </c>
      <c r="Q4" s="1">
        <v>4.2</v>
      </c>
    </row>
    <row r="5" spans="1:18" ht="14.4" x14ac:dyDescent="0.3">
      <c r="A5" s="1">
        <v>2.7</v>
      </c>
      <c r="B5" s="1">
        <v>3.6</v>
      </c>
      <c r="C5" s="1">
        <v>4.2</v>
      </c>
      <c r="D5" s="1">
        <v>-1</v>
      </c>
      <c r="E5" s="1">
        <v>-1</v>
      </c>
      <c r="F5" s="1">
        <v>-1</v>
      </c>
      <c r="G5" s="1">
        <v>5.3</v>
      </c>
      <c r="H5" s="1">
        <v>7.6</v>
      </c>
      <c r="I5" s="1">
        <v>8.9</v>
      </c>
      <c r="J5" s="1">
        <v>2.7</v>
      </c>
      <c r="K5" s="1">
        <v>3.6</v>
      </c>
      <c r="L5" s="1">
        <v>4.2</v>
      </c>
      <c r="M5" s="1">
        <v>7.6</v>
      </c>
      <c r="N5" s="1">
        <v>8.9</v>
      </c>
      <c r="O5" s="1">
        <v>3.6</v>
      </c>
      <c r="P5" s="1">
        <v>4.2</v>
      </c>
      <c r="Q5" s="1">
        <v>4.2</v>
      </c>
    </row>
    <row r="6" spans="1:18" ht="14.4" x14ac:dyDescent="0.3">
      <c r="A6" s="1">
        <v>3.6</v>
      </c>
      <c r="B6" s="1">
        <v>5.4</v>
      </c>
      <c r="C6" s="1">
        <v>5.8</v>
      </c>
      <c r="D6" s="1">
        <v>-1</v>
      </c>
      <c r="E6" s="1">
        <v>-1</v>
      </c>
      <c r="F6" s="1">
        <v>-1</v>
      </c>
      <c r="G6" s="1">
        <v>7.6</v>
      </c>
      <c r="H6" s="1">
        <v>11.1</v>
      </c>
      <c r="I6" s="1">
        <v>12.2</v>
      </c>
      <c r="J6" s="1">
        <v>3.6</v>
      </c>
      <c r="K6" s="1">
        <v>5.4</v>
      </c>
      <c r="L6" s="1">
        <v>5.8</v>
      </c>
      <c r="M6" s="1">
        <v>11.1</v>
      </c>
      <c r="N6" s="1">
        <v>12.2</v>
      </c>
      <c r="O6" s="1">
        <v>5.4</v>
      </c>
      <c r="P6" s="1">
        <v>5.8</v>
      </c>
      <c r="Q6" s="1">
        <v>5.8</v>
      </c>
    </row>
    <row r="7" spans="1:18" ht="14.4" x14ac:dyDescent="0.3">
      <c r="A7" s="1">
        <v>4.9000000000000004</v>
      </c>
      <c r="B7" s="1">
        <v>6.6</v>
      </c>
      <c r="C7" s="1">
        <v>8.1</v>
      </c>
      <c r="D7" s="1">
        <v>-1</v>
      </c>
      <c r="E7" s="1">
        <v>-1</v>
      </c>
      <c r="F7" s="1">
        <v>-1</v>
      </c>
      <c r="G7" s="1">
        <v>10</v>
      </c>
      <c r="H7" s="1">
        <v>13.3</v>
      </c>
      <c r="I7" s="1">
        <v>17</v>
      </c>
      <c r="J7" s="1">
        <v>4.9000000000000004</v>
      </c>
      <c r="K7" s="1">
        <v>6.6</v>
      </c>
      <c r="L7" s="1">
        <v>8.1</v>
      </c>
      <c r="M7" s="1">
        <v>13.3</v>
      </c>
      <c r="N7" s="1">
        <v>17</v>
      </c>
      <c r="O7" s="1">
        <v>6.6</v>
      </c>
      <c r="P7" s="1">
        <v>8.1</v>
      </c>
      <c r="Q7" s="1">
        <v>8.1</v>
      </c>
    </row>
    <row r="8" spans="1:18" ht="14.4" x14ac:dyDescent="0.3">
      <c r="A8" s="1">
        <v>6.6</v>
      </c>
      <c r="B8" s="1">
        <v>8.8000000000000007</v>
      </c>
      <c r="C8" s="1">
        <v>11</v>
      </c>
      <c r="D8" s="1">
        <v>-1</v>
      </c>
      <c r="E8" s="1">
        <v>-1</v>
      </c>
      <c r="F8" s="1">
        <v>-1</v>
      </c>
      <c r="G8" s="1">
        <v>13.3</v>
      </c>
      <c r="H8" s="1">
        <v>18</v>
      </c>
      <c r="I8" s="1">
        <v>22.5</v>
      </c>
      <c r="J8" s="1">
        <v>6.6</v>
      </c>
      <c r="K8" s="1">
        <v>8.8000000000000007</v>
      </c>
      <c r="L8" s="1">
        <v>11</v>
      </c>
      <c r="M8" s="1">
        <v>18</v>
      </c>
      <c r="N8" s="1">
        <v>22.5</v>
      </c>
      <c r="O8" s="1">
        <v>8.8000000000000007</v>
      </c>
      <c r="P8" s="1">
        <v>11</v>
      </c>
      <c r="Q8" s="1">
        <v>11</v>
      </c>
    </row>
    <row r="9" spans="1:18" ht="14.4" x14ac:dyDescent="0.3">
      <c r="A9" s="1">
        <v>7.1</v>
      </c>
      <c r="B9" s="1">
        <v>10.4</v>
      </c>
      <c r="C9" s="1">
        <v>12.8</v>
      </c>
      <c r="D9" s="1">
        <v>-1</v>
      </c>
      <c r="E9" s="1">
        <v>-1</v>
      </c>
      <c r="F9" s="1">
        <v>-1</v>
      </c>
      <c r="G9" s="1">
        <v>14.4</v>
      </c>
      <c r="H9" s="1">
        <v>21.5</v>
      </c>
      <c r="I9" s="1">
        <v>26.1</v>
      </c>
      <c r="J9" s="1">
        <v>7.1</v>
      </c>
      <c r="K9" s="1">
        <v>10.4</v>
      </c>
      <c r="L9" s="1">
        <v>12.8</v>
      </c>
      <c r="M9" s="1">
        <v>21.5</v>
      </c>
      <c r="N9" s="1">
        <v>26.1</v>
      </c>
      <c r="O9" s="1">
        <v>10.4</v>
      </c>
      <c r="P9" s="1">
        <v>12.8</v>
      </c>
      <c r="Q9" s="1">
        <v>12.8</v>
      </c>
    </row>
    <row r="10" spans="1:18" ht="14.4" x14ac:dyDescent="0.3">
      <c r="A10" s="1">
        <v>9.4</v>
      </c>
      <c r="B10" s="1">
        <v>13.8</v>
      </c>
      <c r="C10" s="1">
        <v>16.100000000000001</v>
      </c>
      <c r="D10" s="1">
        <v>-1</v>
      </c>
      <c r="E10" s="1">
        <v>-1</v>
      </c>
      <c r="F10" s="1">
        <v>-1</v>
      </c>
      <c r="G10" s="1">
        <v>19.2</v>
      </c>
      <c r="H10" s="1">
        <v>28.3</v>
      </c>
      <c r="I10" s="1">
        <v>32.799999999999997</v>
      </c>
      <c r="J10" s="1">
        <v>9.4</v>
      </c>
      <c r="K10" s="1">
        <v>13.8</v>
      </c>
      <c r="L10" s="1">
        <v>16.100000000000001</v>
      </c>
      <c r="M10" s="1">
        <v>28.3</v>
      </c>
      <c r="N10" s="1">
        <v>32.799999999999997</v>
      </c>
      <c r="O10" s="1">
        <v>13.8</v>
      </c>
      <c r="P10" s="1">
        <v>16.100000000000001</v>
      </c>
      <c r="Q10" s="1">
        <v>16.100000000000001</v>
      </c>
    </row>
    <row r="11" spans="1:18" ht="14.4" x14ac:dyDescent="0.3">
      <c r="A11" s="1">
        <v>11.6</v>
      </c>
      <c r="B11" s="1">
        <v>17.3</v>
      </c>
      <c r="C11" s="1">
        <v>21.3</v>
      </c>
      <c r="D11" s="1">
        <v>-1</v>
      </c>
      <c r="E11" s="1">
        <v>-1</v>
      </c>
      <c r="F11" s="1">
        <v>-1</v>
      </c>
      <c r="G11" s="1">
        <v>23.6</v>
      </c>
      <c r="H11" s="1">
        <v>35.200000000000003</v>
      </c>
      <c r="I11" s="1">
        <v>43</v>
      </c>
      <c r="J11" s="1">
        <v>11.6</v>
      </c>
      <c r="K11" s="1">
        <v>17.3</v>
      </c>
      <c r="L11" s="1">
        <v>21.3</v>
      </c>
      <c r="M11" s="1">
        <v>35.200000000000003</v>
      </c>
      <c r="N11" s="1">
        <v>43</v>
      </c>
      <c r="O11" s="1">
        <v>17.3</v>
      </c>
      <c r="P11" s="1">
        <v>21.3</v>
      </c>
      <c r="Q11" s="1">
        <v>21.3</v>
      </c>
    </row>
    <row r="12" spans="1:18" ht="14.4" x14ac:dyDescent="0.3">
      <c r="A12" s="1">
        <v>16.100000000000001</v>
      </c>
      <c r="B12" s="1">
        <v>24.1</v>
      </c>
      <c r="C12" s="1">
        <v>29.1</v>
      </c>
      <c r="D12" s="1">
        <v>-1</v>
      </c>
      <c r="E12" s="1">
        <v>-1</v>
      </c>
      <c r="F12" s="1">
        <v>-1</v>
      </c>
      <c r="G12" s="1">
        <v>32.799999999999997</v>
      </c>
      <c r="H12" s="1">
        <v>49</v>
      </c>
      <c r="I12" s="1">
        <v>59</v>
      </c>
      <c r="J12" s="1">
        <v>16.100000000000001</v>
      </c>
      <c r="K12" s="1">
        <v>24.1</v>
      </c>
      <c r="L12" s="1">
        <v>29.1</v>
      </c>
      <c r="M12" s="1">
        <v>49</v>
      </c>
      <c r="N12" s="1">
        <v>59</v>
      </c>
      <c r="O12" s="1">
        <v>24.1</v>
      </c>
      <c r="P12" s="1">
        <v>29.1</v>
      </c>
      <c r="Q12" s="1">
        <v>29.1</v>
      </c>
    </row>
    <row r="13" spans="1:18" ht="14.4" x14ac:dyDescent="0.3">
      <c r="A13" s="1">
        <v>18.399999999999999</v>
      </c>
      <c r="B13" s="1">
        <v>27.5</v>
      </c>
      <c r="C13" s="1">
        <v>33.799999999999997</v>
      </c>
      <c r="D13" s="1">
        <v>-1</v>
      </c>
      <c r="E13" s="1">
        <v>-1</v>
      </c>
      <c r="F13" s="1">
        <v>-1</v>
      </c>
      <c r="G13" s="1">
        <v>37.200000000000003</v>
      </c>
      <c r="H13" s="1">
        <v>55.6</v>
      </c>
      <c r="I13" s="1">
        <v>67.900000000000006</v>
      </c>
      <c r="J13" s="1">
        <v>18.399999999999999</v>
      </c>
      <c r="K13" s="1">
        <v>27.5</v>
      </c>
      <c r="L13" s="1">
        <v>33.799999999999997</v>
      </c>
      <c r="M13" s="1">
        <v>55.6</v>
      </c>
      <c r="N13" s="1">
        <v>67.900000000000006</v>
      </c>
      <c r="O13" s="1">
        <v>27.5</v>
      </c>
      <c r="P13" s="1">
        <v>33.799999999999997</v>
      </c>
      <c r="Q13" s="1">
        <v>33.799999999999997</v>
      </c>
    </row>
    <row r="14" spans="1:18" ht="14.4" x14ac:dyDescent="0.3">
      <c r="A14" s="1">
        <v>0</v>
      </c>
      <c r="B14" s="1">
        <v>0</v>
      </c>
      <c r="C14" s="1">
        <v>0</v>
      </c>
      <c r="D14" s="1">
        <v>0</v>
      </c>
      <c r="E14" s="1">
        <v>0</v>
      </c>
      <c r="F14" s="1">
        <v>0</v>
      </c>
      <c r="G14" s="1">
        <v>0</v>
      </c>
      <c r="H14" s="1">
        <v>0</v>
      </c>
      <c r="I14" s="1">
        <v>0</v>
      </c>
      <c r="J14" s="1">
        <v>0</v>
      </c>
      <c r="K14" s="1">
        <v>0</v>
      </c>
      <c r="L14" s="1">
        <v>0</v>
      </c>
      <c r="M14" s="1">
        <v>0</v>
      </c>
      <c r="N14" s="1">
        <v>0</v>
      </c>
      <c r="O14" s="1">
        <v>0</v>
      </c>
      <c r="P14" s="1">
        <v>0</v>
      </c>
      <c r="Q14" s="1">
        <v>0</v>
      </c>
    </row>
    <row r="15" spans="1:18" ht="14.4" x14ac:dyDescent="0.3">
      <c r="A15" s="1">
        <v>21.9</v>
      </c>
      <c r="B15" s="1">
        <v>32.1</v>
      </c>
      <c r="C15" s="1">
        <v>40.1</v>
      </c>
      <c r="D15" s="1">
        <v>-1</v>
      </c>
      <c r="E15" s="1">
        <v>-1</v>
      </c>
      <c r="F15" s="1">
        <v>-1</v>
      </c>
      <c r="G15" s="1">
        <v>42.3</v>
      </c>
      <c r="H15" s="1">
        <v>61.5</v>
      </c>
      <c r="I15" s="1">
        <v>76.599999999999994</v>
      </c>
      <c r="J15" s="1">
        <v>21.9</v>
      </c>
      <c r="K15" s="1">
        <v>32.1</v>
      </c>
      <c r="L15" s="1">
        <v>40.1</v>
      </c>
      <c r="M15" s="1">
        <v>61.5</v>
      </c>
      <c r="N15" s="1">
        <v>76.599999999999994</v>
      </c>
      <c r="O15" s="1">
        <v>32.1</v>
      </c>
      <c r="P15" s="1">
        <v>40.1</v>
      </c>
      <c r="Q15" s="1">
        <v>40.1</v>
      </c>
    </row>
    <row r="16" spans="1:18" ht="14.4" x14ac:dyDescent="0.3">
      <c r="A16" s="1">
        <v>23.5</v>
      </c>
      <c r="B16" s="1">
        <v>34.700000000000003</v>
      </c>
      <c r="C16" s="1">
        <v>42.7</v>
      </c>
      <c r="D16" s="1">
        <v>-1</v>
      </c>
      <c r="E16" s="1">
        <v>-1</v>
      </c>
      <c r="F16" s="1">
        <v>-1</v>
      </c>
      <c r="G16" s="1">
        <v>47.7</v>
      </c>
      <c r="H16" s="1">
        <v>70.8</v>
      </c>
      <c r="I16" s="1">
        <v>86.6</v>
      </c>
      <c r="J16" s="1">
        <v>23.5</v>
      </c>
      <c r="K16" s="1">
        <v>34.700000000000003</v>
      </c>
      <c r="L16" s="1">
        <v>42.7</v>
      </c>
      <c r="M16" s="1">
        <v>70.8</v>
      </c>
      <c r="N16" s="1">
        <v>86.6</v>
      </c>
      <c r="O16" s="1">
        <v>34.700000000000003</v>
      </c>
      <c r="P16" s="1">
        <v>42.7</v>
      </c>
      <c r="Q16" s="1">
        <v>42.7</v>
      </c>
    </row>
    <row r="17" spans="1:17" ht="14.4" x14ac:dyDescent="0.3">
      <c r="A17" s="1">
        <v>26.8</v>
      </c>
      <c r="B17" s="1">
        <v>39.299999999999997</v>
      </c>
      <c r="C17" s="1">
        <v>47.9</v>
      </c>
      <c r="D17" s="1">
        <v>-1</v>
      </c>
      <c r="E17" s="1">
        <v>-1</v>
      </c>
      <c r="F17" s="1">
        <v>-1</v>
      </c>
      <c r="G17" s="1">
        <v>54.6</v>
      </c>
      <c r="H17" s="1">
        <v>79.599999999999994</v>
      </c>
      <c r="I17" s="1">
        <v>96.8</v>
      </c>
      <c r="J17" s="1">
        <v>26.8</v>
      </c>
      <c r="K17" s="1">
        <v>39.299999999999997</v>
      </c>
      <c r="L17" s="1">
        <v>47.9</v>
      </c>
      <c r="M17" s="1">
        <v>79.599999999999994</v>
      </c>
      <c r="N17" s="1">
        <v>96.8</v>
      </c>
      <c r="O17" s="1">
        <v>39.299999999999997</v>
      </c>
      <c r="P17" s="1">
        <v>47.9</v>
      </c>
      <c r="Q17" s="1">
        <v>47.9</v>
      </c>
    </row>
    <row r="18" spans="1:17" ht="14.4" x14ac:dyDescent="0.3">
      <c r="A18" s="1">
        <v>28</v>
      </c>
      <c r="B18" s="1">
        <v>41</v>
      </c>
      <c r="C18" s="1">
        <v>50.1</v>
      </c>
      <c r="D18" s="1">
        <v>-1</v>
      </c>
      <c r="E18" s="1">
        <v>-1</v>
      </c>
      <c r="F18" s="1">
        <v>-1</v>
      </c>
      <c r="G18" s="1">
        <v>56.7</v>
      </c>
      <c r="H18" s="1">
        <v>83.2</v>
      </c>
      <c r="I18" s="1">
        <v>101.3</v>
      </c>
      <c r="J18" s="1">
        <v>28</v>
      </c>
      <c r="K18" s="1">
        <v>41</v>
      </c>
      <c r="L18" s="1">
        <v>50.1</v>
      </c>
      <c r="M18" s="1">
        <v>83.2</v>
      </c>
      <c r="N18" s="1">
        <v>101.3</v>
      </c>
      <c r="O18" s="1">
        <v>41</v>
      </c>
      <c r="P18" s="1">
        <v>50.1</v>
      </c>
      <c r="Q18" s="1">
        <v>50.1</v>
      </c>
    </row>
    <row r="19" spans="1:17" ht="14.4" x14ac:dyDescent="0.3">
      <c r="A19" s="1">
        <v>28.5</v>
      </c>
      <c r="B19" s="1">
        <v>42.3</v>
      </c>
      <c r="C19" s="1">
        <v>52.3</v>
      </c>
      <c r="D19" s="1">
        <v>-1</v>
      </c>
      <c r="E19" s="1">
        <v>-1</v>
      </c>
      <c r="F19" s="1">
        <v>-1</v>
      </c>
      <c r="G19" s="1">
        <v>58.3</v>
      </c>
      <c r="H19" s="1">
        <v>85.4</v>
      </c>
      <c r="I19" s="1">
        <v>106.1</v>
      </c>
      <c r="J19" s="1">
        <v>28.5</v>
      </c>
      <c r="K19" s="1">
        <v>42.3</v>
      </c>
      <c r="L19" s="1">
        <v>52.3</v>
      </c>
      <c r="M19" s="1">
        <v>85.4</v>
      </c>
      <c r="N19" s="1">
        <v>106.1</v>
      </c>
      <c r="O19" s="1">
        <v>42.3</v>
      </c>
      <c r="P19" s="1">
        <v>52.3</v>
      </c>
      <c r="Q19" s="1">
        <v>52.3</v>
      </c>
    </row>
    <row r="20" spans="1:17" ht="14.4" x14ac:dyDescent="0.3">
      <c r="A20" s="1">
        <v>29.1</v>
      </c>
      <c r="B20" s="1">
        <v>43.3</v>
      </c>
      <c r="C20" s="1">
        <v>53.7</v>
      </c>
      <c r="D20" s="1">
        <v>-1</v>
      </c>
      <c r="E20" s="1">
        <v>-1</v>
      </c>
      <c r="F20" s="1">
        <v>-1</v>
      </c>
      <c r="G20" s="1">
        <v>59</v>
      </c>
      <c r="H20" s="1">
        <v>87.6</v>
      </c>
      <c r="I20" s="1">
        <v>108.8</v>
      </c>
      <c r="J20" s="1">
        <v>29.1</v>
      </c>
      <c r="K20" s="1">
        <v>43.3</v>
      </c>
      <c r="L20" s="1">
        <v>53.7</v>
      </c>
      <c r="M20" s="1">
        <v>87.6</v>
      </c>
      <c r="N20" s="1">
        <v>108.8</v>
      </c>
      <c r="O20" s="1">
        <v>43.3</v>
      </c>
      <c r="P20" s="1">
        <v>53.7</v>
      </c>
      <c r="Q20" s="1">
        <v>53.7</v>
      </c>
    </row>
    <row r="21" spans="1:17" ht="14.4" x14ac:dyDescent="0.3">
      <c r="A21" s="1">
        <v>30.7</v>
      </c>
      <c r="B21" s="1">
        <v>45.5</v>
      </c>
      <c r="C21" s="1">
        <v>57</v>
      </c>
      <c r="D21" s="1">
        <v>-1</v>
      </c>
      <c r="E21" s="1">
        <v>-1</v>
      </c>
      <c r="F21" s="1">
        <v>-1</v>
      </c>
      <c r="G21" s="1">
        <v>62.5</v>
      </c>
      <c r="H21" s="1">
        <v>92.1</v>
      </c>
      <c r="I21" s="1">
        <v>115.1</v>
      </c>
      <c r="J21" s="1">
        <v>30.7</v>
      </c>
      <c r="K21" s="1">
        <v>45.5</v>
      </c>
      <c r="L21" s="1">
        <v>57</v>
      </c>
      <c r="M21" s="1">
        <v>92.1</v>
      </c>
      <c r="N21" s="1">
        <v>115.1</v>
      </c>
      <c r="O21" s="1">
        <v>45.5</v>
      </c>
      <c r="P21" s="1">
        <v>57</v>
      </c>
      <c r="Q21" s="1">
        <v>57</v>
      </c>
    </row>
    <row r="22" spans="1:17" ht="14.4" x14ac:dyDescent="0.3">
      <c r="A22" s="1">
        <v>33.799999999999997</v>
      </c>
      <c r="B22" s="1">
        <v>50.1</v>
      </c>
      <c r="C22" s="1">
        <v>61.4</v>
      </c>
      <c r="D22" s="1">
        <v>-1</v>
      </c>
      <c r="E22" s="1">
        <v>-1</v>
      </c>
      <c r="F22" s="1">
        <v>-1</v>
      </c>
      <c r="G22" s="1">
        <v>67.900000000000006</v>
      </c>
      <c r="H22" s="1">
        <v>101.3</v>
      </c>
      <c r="I22" s="1">
        <v>124.4</v>
      </c>
      <c r="J22" s="1">
        <v>33.799999999999997</v>
      </c>
      <c r="K22" s="1">
        <v>50.1</v>
      </c>
      <c r="L22" s="1">
        <v>61.4</v>
      </c>
      <c r="M22" s="1">
        <v>101.3</v>
      </c>
      <c r="N22" s="1">
        <v>124.4</v>
      </c>
      <c r="O22" s="1">
        <v>50.1</v>
      </c>
      <c r="P22" s="1">
        <v>61.4</v>
      </c>
      <c r="Q22" s="1">
        <v>61.4</v>
      </c>
    </row>
    <row r="23" spans="1:17" ht="14.4" x14ac:dyDescent="0.3">
      <c r="A23" s="1">
        <v>34.700000000000003</v>
      </c>
      <c r="B23" s="1">
        <v>52.3</v>
      </c>
      <c r="C23" s="1">
        <v>63.6</v>
      </c>
      <c r="D23" s="1">
        <v>-1</v>
      </c>
      <c r="E23" s="1">
        <v>-1</v>
      </c>
      <c r="F23" s="1">
        <v>-1</v>
      </c>
      <c r="G23" s="1">
        <v>70.8</v>
      </c>
      <c r="H23" s="1">
        <v>106.1</v>
      </c>
      <c r="I23" s="1">
        <v>128.6</v>
      </c>
      <c r="J23" s="1">
        <v>34.700000000000003</v>
      </c>
      <c r="K23" s="1">
        <v>52.3</v>
      </c>
      <c r="L23" s="1">
        <v>63.6</v>
      </c>
      <c r="M23" s="1">
        <v>106.1</v>
      </c>
      <c r="N23" s="1">
        <v>128.6</v>
      </c>
      <c r="O23" s="1">
        <v>52.3</v>
      </c>
      <c r="P23" s="1">
        <v>63.6</v>
      </c>
      <c r="Q23" s="1">
        <v>63.6</v>
      </c>
    </row>
    <row r="24" spans="1:17" ht="14.4" x14ac:dyDescent="0.3">
      <c r="A24" s="1">
        <v>36.5</v>
      </c>
      <c r="B24" s="1">
        <v>54.6</v>
      </c>
      <c r="C24" s="1">
        <v>65.900000000000006</v>
      </c>
      <c r="D24" s="1">
        <v>-1</v>
      </c>
      <c r="E24" s="1">
        <v>-1</v>
      </c>
      <c r="F24" s="1">
        <v>-1</v>
      </c>
      <c r="G24" s="1">
        <v>73.900000000000006</v>
      </c>
      <c r="H24" s="1">
        <v>110.3</v>
      </c>
      <c r="I24" s="1">
        <v>133.4</v>
      </c>
      <c r="J24" s="1">
        <v>36.5</v>
      </c>
      <c r="K24" s="1">
        <v>54.6</v>
      </c>
      <c r="L24" s="1">
        <v>65.900000000000006</v>
      </c>
      <c r="M24" s="1">
        <v>110.3</v>
      </c>
      <c r="N24" s="1">
        <v>133.4</v>
      </c>
      <c r="O24" s="1">
        <v>54.6</v>
      </c>
      <c r="P24" s="1">
        <v>65.900000000000006</v>
      </c>
      <c r="Q24" s="1">
        <v>65.900000000000006</v>
      </c>
    </row>
    <row r="25" spans="1:17" ht="14.4" x14ac:dyDescent="0.3">
      <c r="A25" s="1">
        <v>38</v>
      </c>
      <c r="B25" s="1">
        <v>57.2</v>
      </c>
      <c r="C25" s="1">
        <v>68.7</v>
      </c>
      <c r="D25" s="1">
        <v>-1</v>
      </c>
      <c r="E25" s="1">
        <v>-1</v>
      </c>
      <c r="F25" s="1">
        <v>-1</v>
      </c>
      <c r="G25" s="1">
        <v>76.599999999999994</v>
      </c>
      <c r="H25" s="1">
        <v>115.5</v>
      </c>
      <c r="I25" s="1">
        <v>138.80000000000001</v>
      </c>
      <c r="J25" s="1">
        <v>38</v>
      </c>
      <c r="K25" s="1">
        <v>57.2</v>
      </c>
      <c r="L25" s="1">
        <v>68.7</v>
      </c>
      <c r="M25" s="1">
        <v>115.5</v>
      </c>
      <c r="N25" s="1">
        <v>138.80000000000001</v>
      </c>
      <c r="O25" s="1">
        <v>57.2</v>
      </c>
      <c r="P25" s="1">
        <v>68.7</v>
      </c>
      <c r="Q25" s="1">
        <v>68.7</v>
      </c>
    </row>
    <row r="26" spans="1:17" ht="14.4" x14ac:dyDescent="0.3">
      <c r="A26" s="1">
        <v>38.700000000000003</v>
      </c>
      <c r="B26" s="1">
        <v>59.2</v>
      </c>
      <c r="C26" s="1">
        <v>70.400000000000006</v>
      </c>
      <c r="D26" s="1">
        <v>-1</v>
      </c>
      <c r="E26" s="1">
        <v>-1</v>
      </c>
      <c r="F26" s="1">
        <v>-1</v>
      </c>
      <c r="G26" s="1">
        <v>78.599999999999994</v>
      </c>
      <c r="H26" s="1">
        <v>119.4</v>
      </c>
      <c r="I26" s="1">
        <v>142.5</v>
      </c>
      <c r="J26" s="1">
        <v>38.700000000000003</v>
      </c>
      <c r="K26" s="1">
        <v>59.2</v>
      </c>
      <c r="L26" s="1">
        <v>70.400000000000006</v>
      </c>
      <c r="M26" s="1">
        <v>119.4</v>
      </c>
      <c r="N26" s="1">
        <v>142.5</v>
      </c>
      <c r="O26" s="1">
        <v>59.2</v>
      </c>
      <c r="P26" s="1">
        <v>70.400000000000006</v>
      </c>
      <c r="Q26" s="1">
        <v>70.400000000000006</v>
      </c>
    </row>
    <row r="27" spans="1:17" ht="14.4" x14ac:dyDescent="0.3">
      <c r="A27" s="1">
        <v>40.1</v>
      </c>
      <c r="B27" s="1">
        <v>59.2</v>
      </c>
      <c r="C27" s="1">
        <v>72.8</v>
      </c>
      <c r="D27" s="1">
        <v>-1</v>
      </c>
      <c r="E27" s="1">
        <v>-1</v>
      </c>
      <c r="F27" s="1">
        <v>-1</v>
      </c>
      <c r="G27" s="1">
        <v>80.8</v>
      </c>
      <c r="H27" s="1">
        <v>119.4</v>
      </c>
      <c r="I27" s="1">
        <v>146.80000000000001</v>
      </c>
      <c r="J27" s="1">
        <v>40.1</v>
      </c>
      <c r="K27" s="1">
        <v>59.2</v>
      </c>
      <c r="L27" s="1">
        <v>72.8</v>
      </c>
      <c r="M27" s="1">
        <v>119.4</v>
      </c>
      <c r="N27" s="1">
        <v>146.80000000000001</v>
      </c>
      <c r="O27" s="1">
        <v>59.2</v>
      </c>
      <c r="P27" s="1">
        <v>72.8</v>
      </c>
      <c r="Q27" s="1">
        <v>72.8</v>
      </c>
    </row>
    <row r="28" spans="1:17" ht="14.4" x14ac:dyDescent="0.3">
      <c r="A28" s="1">
        <v>0</v>
      </c>
      <c r="B28" s="1">
        <v>0</v>
      </c>
      <c r="C28" s="1">
        <v>0</v>
      </c>
      <c r="D28" s="1">
        <v>0</v>
      </c>
      <c r="E28" s="1">
        <v>0</v>
      </c>
      <c r="F28" s="1">
        <v>0</v>
      </c>
      <c r="G28" s="1">
        <v>0</v>
      </c>
      <c r="H28" s="1">
        <v>0</v>
      </c>
      <c r="I28" s="1">
        <v>0</v>
      </c>
      <c r="J28" s="1">
        <v>0</v>
      </c>
      <c r="K28" s="1">
        <v>0</v>
      </c>
      <c r="L28" s="1">
        <v>0</v>
      </c>
      <c r="M28" s="1">
        <v>0</v>
      </c>
      <c r="N28" s="1">
        <v>0</v>
      </c>
      <c r="O28" s="1">
        <v>0</v>
      </c>
      <c r="P28" s="1">
        <v>0</v>
      </c>
      <c r="Q28" s="1">
        <v>0</v>
      </c>
    </row>
    <row r="29" spans="1:17" ht="14.4" x14ac:dyDescent="0.3">
      <c r="A29" s="1">
        <v>41.3</v>
      </c>
      <c r="B29" s="1">
        <v>61.4</v>
      </c>
      <c r="C29" s="1">
        <v>75</v>
      </c>
      <c r="D29" s="1">
        <v>-1</v>
      </c>
      <c r="E29" s="1">
        <v>-1</v>
      </c>
      <c r="F29" s="1">
        <v>-1</v>
      </c>
      <c r="G29" s="1">
        <v>83.5</v>
      </c>
      <c r="H29" s="1">
        <v>124.4</v>
      </c>
      <c r="I29" s="1">
        <v>151.5</v>
      </c>
      <c r="J29" s="1">
        <v>41.3</v>
      </c>
      <c r="K29" s="1">
        <v>61.4</v>
      </c>
      <c r="L29" s="1">
        <v>75</v>
      </c>
      <c r="M29" s="1">
        <v>124.4</v>
      </c>
      <c r="N29" s="1">
        <v>151.5</v>
      </c>
      <c r="O29" s="1">
        <v>61.4</v>
      </c>
      <c r="P29" s="1">
        <v>75</v>
      </c>
      <c r="Q29" s="1">
        <v>75</v>
      </c>
    </row>
    <row r="30" spans="1:17" ht="14.4" x14ac:dyDescent="0.3">
      <c r="A30" s="1">
        <v>42.3</v>
      </c>
      <c r="B30" s="1">
        <v>61.4</v>
      </c>
      <c r="C30" s="1">
        <v>75</v>
      </c>
      <c r="D30" s="1">
        <v>-1</v>
      </c>
      <c r="E30" s="1">
        <v>-1</v>
      </c>
      <c r="F30" s="1">
        <v>-1</v>
      </c>
      <c r="G30" s="1">
        <v>85.4</v>
      </c>
      <c r="H30" s="1">
        <v>124.4</v>
      </c>
      <c r="I30" s="1">
        <v>151.5</v>
      </c>
      <c r="J30" s="1">
        <v>42.3</v>
      </c>
      <c r="K30" s="1">
        <v>61.4</v>
      </c>
      <c r="L30" s="1">
        <v>75</v>
      </c>
      <c r="M30" s="1">
        <v>124.4</v>
      </c>
      <c r="N30" s="1">
        <v>151.5</v>
      </c>
      <c r="O30" s="1">
        <v>61.4</v>
      </c>
      <c r="P30" s="1">
        <v>75</v>
      </c>
      <c r="Q30" s="1">
        <v>75</v>
      </c>
    </row>
    <row r="31" spans="1:17" ht="14.4" x14ac:dyDescent="0.3">
      <c r="A31" s="1">
        <v>43.3</v>
      </c>
      <c r="B31" s="1">
        <v>63.6</v>
      </c>
      <c r="C31" s="1">
        <v>77.2</v>
      </c>
      <c r="D31" s="1">
        <v>-1</v>
      </c>
      <c r="E31" s="1">
        <v>-1</v>
      </c>
      <c r="F31" s="1">
        <v>-1</v>
      </c>
      <c r="G31" s="1">
        <v>87.6</v>
      </c>
      <c r="H31" s="1">
        <v>128.6</v>
      </c>
      <c r="I31" s="1">
        <v>156.4</v>
      </c>
      <c r="J31" s="1">
        <v>43.3</v>
      </c>
      <c r="K31" s="1">
        <v>63.6</v>
      </c>
      <c r="L31" s="1">
        <v>77.2</v>
      </c>
      <c r="M31" s="1">
        <v>128.6</v>
      </c>
      <c r="N31" s="1">
        <v>156.4</v>
      </c>
      <c r="O31" s="1">
        <v>63.6</v>
      </c>
      <c r="P31" s="1">
        <v>77.2</v>
      </c>
      <c r="Q31" s="1">
        <v>77.2</v>
      </c>
    </row>
    <row r="32" spans="1:17" ht="14.4" x14ac:dyDescent="0.3">
      <c r="A32" s="1">
        <v>-1</v>
      </c>
      <c r="B32" s="1">
        <v>-1</v>
      </c>
      <c r="C32" s="1">
        <v>-1</v>
      </c>
      <c r="D32" s="1">
        <v>-1</v>
      </c>
      <c r="E32" s="1">
        <v>-1</v>
      </c>
      <c r="F32" s="1">
        <v>-1</v>
      </c>
      <c r="G32" s="1">
        <v>-1</v>
      </c>
      <c r="H32" s="1">
        <v>-1</v>
      </c>
      <c r="I32" s="1">
        <v>-1</v>
      </c>
      <c r="J32" s="1">
        <v>-1</v>
      </c>
      <c r="K32" s="1">
        <v>-1</v>
      </c>
      <c r="L32" s="1">
        <v>-1</v>
      </c>
      <c r="M32" s="1">
        <v>-1</v>
      </c>
      <c r="N32" s="1">
        <v>-1</v>
      </c>
      <c r="O32" s="1">
        <v>-1</v>
      </c>
      <c r="P32" s="1">
        <v>-1</v>
      </c>
      <c r="Q32" s="1">
        <v>-1</v>
      </c>
    </row>
    <row r="33" spans="1:17" ht="14.4" x14ac:dyDescent="0.3">
      <c r="A33" s="1">
        <v>45</v>
      </c>
      <c r="B33" s="1">
        <v>65.900000000000006</v>
      </c>
      <c r="C33" s="1">
        <v>79.400000000000006</v>
      </c>
      <c r="D33" s="1">
        <v>-1</v>
      </c>
      <c r="E33" s="1">
        <v>-1</v>
      </c>
      <c r="F33" s="1">
        <v>-1</v>
      </c>
      <c r="G33" s="1">
        <v>90.9</v>
      </c>
      <c r="H33" s="1">
        <v>133.4</v>
      </c>
      <c r="I33" s="1">
        <v>160.9</v>
      </c>
      <c r="J33" s="1">
        <v>45</v>
      </c>
      <c r="K33" s="1">
        <v>65.900000000000006</v>
      </c>
      <c r="L33" s="1">
        <v>79.400000000000006</v>
      </c>
      <c r="M33" s="1">
        <v>133.4</v>
      </c>
      <c r="N33" s="1">
        <v>160.9</v>
      </c>
      <c r="O33" s="1">
        <v>65.900000000000006</v>
      </c>
      <c r="P33" s="1">
        <v>79.400000000000006</v>
      </c>
      <c r="Q33" s="1">
        <v>79.400000000000006</v>
      </c>
    </row>
    <row r="34" spans="1:17" ht="14.4" x14ac:dyDescent="0.3">
      <c r="A34" s="1">
        <v>-1</v>
      </c>
      <c r="B34" s="1">
        <v>-1</v>
      </c>
      <c r="C34" s="1">
        <v>-1</v>
      </c>
      <c r="D34" s="1">
        <v>-1</v>
      </c>
      <c r="E34" s="1">
        <v>-1</v>
      </c>
      <c r="F34" s="1">
        <v>-1</v>
      </c>
      <c r="G34" s="1">
        <v>-1</v>
      </c>
      <c r="H34" s="1">
        <v>-1</v>
      </c>
      <c r="I34" s="1">
        <v>-1</v>
      </c>
      <c r="J34" s="1">
        <v>-1</v>
      </c>
      <c r="K34" s="1">
        <v>-1</v>
      </c>
      <c r="L34" s="1">
        <v>-1</v>
      </c>
      <c r="M34" s="1">
        <v>-1</v>
      </c>
      <c r="N34" s="1">
        <v>-1</v>
      </c>
      <c r="O34" s="1">
        <v>-1</v>
      </c>
      <c r="P34" s="1">
        <v>-1</v>
      </c>
      <c r="Q34" s="1">
        <v>-1</v>
      </c>
    </row>
    <row r="35" spans="1:17" ht="14.4" x14ac:dyDescent="0.3">
      <c r="A35" s="1">
        <v>41.5</v>
      </c>
      <c r="B35" s="1">
        <v>61.4</v>
      </c>
      <c r="C35" s="1">
        <v>75</v>
      </c>
      <c r="D35" s="1">
        <v>-1</v>
      </c>
      <c r="E35" s="1">
        <v>-1</v>
      </c>
      <c r="F35" s="1">
        <v>-1</v>
      </c>
      <c r="G35" s="1">
        <v>84.6</v>
      </c>
      <c r="H35" s="1">
        <v>124.4</v>
      </c>
      <c r="I35" s="1">
        <v>151.5</v>
      </c>
      <c r="J35" s="1">
        <v>41.5</v>
      </c>
      <c r="K35" s="1">
        <v>61.4</v>
      </c>
      <c r="L35" s="1">
        <v>75</v>
      </c>
      <c r="M35" s="1">
        <v>124.4</v>
      </c>
      <c r="N35" s="1">
        <v>151.5</v>
      </c>
      <c r="O35" s="1">
        <v>61.4</v>
      </c>
      <c r="P35" s="1">
        <v>75</v>
      </c>
      <c r="Q35" s="1">
        <v>75</v>
      </c>
    </row>
    <row r="36" spans="1:17" ht="14.4" x14ac:dyDescent="0.3">
      <c r="A36" s="1">
        <v>43.3</v>
      </c>
      <c r="B36" s="1">
        <v>63.6</v>
      </c>
      <c r="C36" s="1">
        <v>79.400000000000006</v>
      </c>
      <c r="D36" s="1">
        <v>-1</v>
      </c>
      <c r="E36" s="1">
        <v>-1</v>
      </c>
      <c r="F36" s="1">
        <v>-1</v>
      </c>
      <c r="G36" s="1">
        <v>87.6</v>
      </c>
      <c r="H36" s="1">
        <v>128.6</v>
      </c>
      <c r="I36" s="1">
        <v>160.9</v>
      </c>
      <c r="J36" s="1">
        <v>43.3</v>
      </c>
      <c r="K36" s="1">
        <v>63.6</v>
      </c>
      <c r="L36" s="1">
        <v>79.400000000000006</v>
      </c>
      <c r="M36" s="1">
        <v>128.6</v>
      </c>
      <c r="N36" s="1">
        <v>160.9</v>
      </c>
      <c r="O36" s="1">
        <v>63.6</v>
      </c>
      <c r="P36" s="1">
        <v>79.400000000000006</v>
      </c>
      <c r="Q36" s="1">
        <v>79.400000000000006</v>
      </c>
    </row>
    <row r="37" spans="1:17" ht="14.4" x14ac:dyDescent="0.3">
      <c r="A37" s="1">
        <v>44.5</v>
      </c>
      <c r="B37" s="1">
        <v>65.900000000000006</v>
      </c>
      <c r="C37" s="1">
        <v>81.8</v>
      </c>
      <c r="D37" s="1">
        <v>-1</v>
      </c>
      <c r="E37" s="1">
        <v>-1</v>
      </c>
      <c r="F37" s="1">
        <v>-1</v>
      </c>
      <c r="G37" s="1">
        <v>89.9</v>
      </c>
      <c r="H37" s="1">
        <v>133.4</v>
      </c>
      <c r="I37" s="1">
        <v>165.3</v>
      </c>
      <c r="J37" s="1">
        <v>44.5</v>
      </c>
      <c r="K37" s="1">
        <v>65.900000000000006</v>
      </c>
      <c r="L37" s="1">
        <v>81.8</v>
      </c>
      <c r="M37" s="1">
        <v>133.4</v>
      </c>
      <c r="N37" s="1">
        <v>165.3</v>
      </c>
      <c r="O37" s="1">
        <v>65.900000000000006</v>
      </c>
      <c r="P37" s="1">
        <v>81.8</v>
      </c>
      <c r="Q37" s="1">
        <v>81.8</v>
      </c>
    </row>
    <row r="38" spans="1:17" ht="14.4" x14ac:dyDescent="0.3">
      <c r="A38" s="1">
        <v>47.3</v>
      </c>
      <c r="B38" s="1">
        <v>70.400000000000006</v>
      </c>
      <c r="C38" s="1">
        <v>86.4</v>
      </c>
      <c r="D38" s="1">
        <v>-1</v>
      </c>
      <c r="E38" s="1">
        <v>-1</v>
      </c>
      <c r="F38" s="1">
        <v>-1</v>
      </c>
      <c r="G38" s="1">
        <v>95.6</v>
      </c>
      <c r="H38" s="1">
        <v>142.5</v>
      </c>
      <c r="I38" s="1">
        <v>174.2</v>
      </c>
      <c r="J38" s="1">
        <v>47.3</v>
      </c>
      <c r="K38" s="1">
        <v>70.400000000000006</v>
      </c>
      <c r="L38" s="1">
        <v>86.4</v>
      </c>
      <c r="M38" s="1">
        <v>142.5</v>
      </c>
      <c r="N38" s="1">
        <v>174.2</v>
      </c>
      <c r="O38" s="1">
        <v>70.400000000000006</v>
      </c>
      <c r="P38" s="1">
        <v>86.4</v>
      </c>
      <c r="Q38" s="1">
        <v>86.4</v>
      </c>
    </row>
    <row r="39" spans="1:17" ht="14.4" x14ac:dyDescent="0.3">
      <c r="A39" s="1">
        <v>48.3</v>
      </c>
      <c r="B39" s="1">
        <v>72</v>
      </c>
      <c r="C39" s="1">
        <v>89</v>
      </c>
      <c r="D39" s="1">
        <v>-1</v>
      </c>
      <c r="E39" s="1">
        <v>-1</v>
      </c>
      <c r="F39" s="1">
        <v>-1</v>
      </c>
      <c r="G39" s="1">
        <v>97.9</v>
      </c>
      <c r="H39" s="1">
        <v>145.5</v>
      </c>
      <c r="I39" s="1">
        <v>179.8</v>
      </c>
      <c r="J39" s="1">
        <v>48.3</v>
      </c>
      <c r="K39" s="1">
        <v>72</v>
      </c>
      <c r="L39" s="1">
        <v>89</v>
      </c>
      <c r="M39" s="1">
        <v>145.5</v>
      </c>
      <c r="N39" s="1">
        <v>179.8</v>
      </c>
      <c r="O39" s="1">
        <v>72</v>
      </c>
      <c r="P39" s="1">
        <v>89</v>
      </c>
      <c r="Q39" s="1">
        <v>89</v>
      </c>
    </row>
    <row r="40" spans="1:17" ht="14.4" x14ac:dyDescent="0.3">
      <c r="A40" s="1">
        <v>49.1</v>
      </c>
      <c r="B40" s="1">
        <v>72.8</v>
      </c>
      <c r="C40" s="1">
        <v>90.9</v>
      </c>
      <c r="D40" s="1">
        <v>-1</v>
      </c>
      <c r="E40" s="1">
        <v>-1</v>
      </c>
      <c r="F40" s="1">
        <v>-1</v>
      </c>
      <c r="G40" s="1">
        <v>99.5</v>
      </c>
      <c r="H40" s="1">
        <v>146.80000000000001</v>
      </c>
      <c r="I40" s="1">
        <v>183.5</v>
      </c>
      <c r="J40" s="1">
        <v>49.1</v>
      </c>
      <c r="K40" s="1">
        <v>72.8</v>
      </c>
      <c r="L40" s="1">
        <v>90.9</v>
      </c>
      <c r="M40" s="1">
        <v>146.80000000000001</v>
      </c>
      <c r="N40" s="1">
        <v>183.5</v>
      </c>
      <c r="O40" s="1">
        <v>72.8</v>
      </c>
      <c r="P40" s="1">
        <v>90.9</v>
      </c>
      <c r="Q40" s="1">
        <v>90.9</v>
      </c>
    </row>
    <row r="41" spans="1:17" ht="14.4" x14ac:dyDescent="0.3">
      <c r="A41" s="1">
        <v>50.6</v>
      </c>
      <c r="B41" s="1">
        <v>75</v>
      </c>
      <c r="C41" s="1">
        <v>93.1</v>
      </c>
      <c r="D41" s="1">
        <v>-1</v>
      </c>
      <c r="E41" s="1">
        <v>-1</v>
      </c>
      <c r="F41" s="1">
        <v>-1</v>
      </c>
      <c r="G41" s="1">
        <v>102.6</v>
      </c>
      <c r="H41" s="1">
        <v>151.5</v>
      </c>
      <c r="I41" s="1">
        <v>188.1</v>
      </c>
      <c r="J41" s="1">
        <v>50.6</v>
      </c>
      <c r="K41" s="1">
        <v>75</v>
      </c>
      <c r="L41" s="1">
        <v>93.1</v>
      </c>
      <c r="M41" s="1">
        <v>151.5</v>
      </c>
      <c r="N41" s="1">
        <v>188.1</v>
      </c>
      <c r="O41" s="1">
        <v>75</v>
      </c>
      <c r="P41" s="1">
        <v>93.1</v>
      </c>
      <c r="Q41" s="1">
        <v>93.1</v>
      </c>
    </row>
    <row r="42" spans="1:17" ht="14.4" x14ac:dyDescent="0.3">
      <c r="A42" s="1">
        <v>51.8</v>
      </c>
      <c r="B42" s="1">
        <v>77.2</v>
      </c>
      <c r="C42" s="1">
        <v>93.1</v>
      </c>
      <c r="D42" s="1">
        <v>-1</v>
      </c>
      <c r="E42" s="1">
        <v>-1</v>
      </c>
      <c r="F42" s="1">
        <v>-1</v>
      </c>
      <c r="G42" s="1">
        <v>104.5</v>
      </c>
      <c r="H42" s="1">
        <v>156.4</v>
      </c>
      <c r="I42" s="1">
        <v>188.1</v>
      </c>
      <c r="J42" s="1">
        <v>51.8</v>
      </c>
      <c r="K42" s="1">
        <v>77.2</v>
      </c>
      <c r="L42" s="1">
        <v>93.1</v>
      </c>
      <c r="M42" s="1">
        <v>156.4</v>
      </c>
      <c r="N42" s="1">
        <v>188.1</v>
      </c>
      <c r="O42" s="1">
        <v>77.2</v>
      </c>
      <c r="P42" s="1">
        <v>93.1</v>
      </c>
      <c r="Q42" s="1">
        <v>93.1</v>
      </c>
    </row>
  </sheetData>
  <mergeCells count="1">
    <mergeCell ref="A1:R1"/>
  </mergeCells>
  <conditionalFormatting sqref="A3:Q42">
    <cfRule type="cellIs" dxfId="5" priority="1" operator="equal">
      <formula>0</formula>
    </cfRule>
    <cfRule type="cellIs" dxfId="4"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B761C-EB88-4918-B671-6ECF7CFC9628}">
  <dimension ref="A1:X40"/>
  <sheetViews>
    <sheetView workbookViewId="0">
      <pane ySplit="1" topLeftCell="A2" activePane="bottomLeft" state="frozen"/>
      <selection pane="bottomLeft" activeCell="N15" sqref="N15"/>
    </sheetView>
  </sheetViews>
  <sheetFormatPr defaultRowHeight="13.2" x14ac:dyDescent="0.25"/>
  <sheetData>
    <row r="1" spans="1:24" ht="14.4" x14ac:dyDescent="0.3">
      <c r="A1" s="28" t="s">
        <v>64</v>
      </c>
      <c r="B1" s="28" t="s">
        <v>43</v>
      </c>
      <c r="C1" s="28" t="s">
        <v>0</v>
      </c>
      <c r="D1" s="29" t="s">
        <v>1</v>
      </c>
      <c r="E1" s="28" t="s">
        <v>2</v>
      </c>
      <c r="F1" s="29" t="s">
        <v>3</v>
      </c>
      <c r="G1" s="30" t="s">
        <v>79</v>
      </c>
      <c r="H1" s="30" t="s">
        <v>65</v>
      </c>
      <c r="I1" s="30" t="s">
        <v>66</v>
      </c>
      <c r="J1" s="31" t="s">
        <v>67</v>
      </c>
      <c r="K1" s="31" t="s">
        <v>68</v>
      </c>
      <c r="L1" s="31" t="s">
        <v>69</v>
      </c>
      <c r="M1" s="30" t="s">
        <v>70</v>
      </c>
      <c r="N1" s="30" t="s">
        <v>71</v>
      </c>
      <c r="O1" s="30" t="s">
        <v>72</v>
      </c>
      <c r="P1" s="31" t="s">
        <v>73</v>
      </c>
      <c r="Q1" s="31" t="s">
        <v>74</v>
      </c>
      <c r="R1" s="31" t="s">
        <v>75</v>
      </c>
      <c r="S1" s="30" t="s">
        <v>80</v>
      </c>
      <c r="T1" s="30" t="s">
        <v>76</v>
      </c>
      <c r="U1" s="31" t="s">
        <v>81</v>
      </c>
      <c r="V1" s="31" t="s">
        <v>77</v>
      </c>
      <c r="W1" s="31" t="s">
        <v>78</v>
      </c>
      <c r="X1" s="3" t="s">
        <v>105</v>
      </c>
    </row>
    <row r="2" spans="1:24" ht="14.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7">
        <v>45051</v>
      </c>
    </row>
    <row r="3" spans="1:24" ht="14.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7">
        <v>45048</v>
      </c>
    </row>
    <row r="4" spans="1:24" ht="14.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7">
        <v>45055</v>
      </c>
    </row>
    <row r="5" spans="1:24" ht="14.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7">
        <v>45059</v>
      </c>
    </row>
    <row r="6" spans="1:24" ht="14.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7">
        <v>45076</v>
      </c>
    </row>
    <row r="7" spans="1:24" ht="14.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7">
        <v>45057</v>
      </c>
    </row>
    <row r="8" spans="1:24" ht="14.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7">
        <v>45052</v>
      </c>
    </row>
    <row r="9" spans="1:24" ht="14.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7">
        <v>45098</v>
      </c>
    </row>
    <row r="10" spans="1:24" ht="14.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7">
        <v>45092</v>
      </c>
    </row>
    <row r="11" spans="1:24" ht="14.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7">
        <v>45104</v>
      </c>
    </row>
    <row r="12" spans="1:24" ht="14.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7">
        <v>45116</v>
      </c>
    </row>
    <row r="13" spans="1:24" ht="14.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7">
        <v>45110</v>
      </c>
    </row>
    <row r="14" spans="1:24" ht="14.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7">
        <v>45095</v>
      </c>
    </row>
    <row r="15" spans="1:24" ht="14.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7">
        <v>45113</v>
      </c>
    </row>
    <row r="16" spans="1:24" ht="14.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7">
        <v>45063</v>
      </c>
    </row>
    <row r="17" spans="1:24" ht="14.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7">
        <v>45071</v>
      </c>
    </row>
    <row r="18" spans="1:24" ht="14.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7">
        <v>45085</v>
      </c>
    </row>
    <row r="19" spans="1:24" ht="14.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7">
        <v>45099</v>
      </c>
    </row>
    <row r="20" spans="1:24" ht="14.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7">
        <v>45091</v>
      </c>
    </row>
    <row r="21" spans="1:24" ht="14.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7">
        <v>45079</v>
      </c>
    </row>
    <row r="22" spans="1:24" ht="14.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7">
        <v>45075</v>
      </c>
    </row>
    <row r="23" spans="1:24" ht="14.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7">
        <v>45110</v>
      </c>
    </row>
    <row r="24" spans="1:24" ht="14.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7">
        <v>45114</v>
      </c>
    </row>
    <row r="25" spans="1:24" ht="14.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7">
        <v>45118</v>
      </c>
    </row>
    <row r="26" spans="1:24" ht="14.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7">
        <v>45142</v>
      </c>
    </row>
    <row r="27" spans="1:24" ht="14.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7">
        <v>45146</v>
      </c>
    </row>
    <row r="28" spans="1:24" ht="14.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7">
        <v>45108</v>
      </c>
    </row>
    <row r="29" spans="1:24" ht="14.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7">
        <v>45153</v>
      </c>
    </row>
    <row r="30" spans="1:24" ht="14.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7">
        <v>45150</v>
      </c>
    </row>
    <row r="31" spans="1:24" ht="14.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7">
        <v>45157</v>
      </c>
    </row>
    <row r="32" spans="1:24" ht="14.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7">
        <v>45143</v>
      </c>
    </row>
    <row r="33" spans="1:24" ht="14.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7">
        <v>45166</v>
      </c>
    </row>
    <row r="34" spans="1:24" ht="14.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7">
        <v>45162</v>
      </c>
    </row>
    <row r="35" spans="1:24" ht="14.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7">
        <v>45160</v>
      </c>
    </row>
    <row r="36" spans="1:24" ht="14.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7">
        <v>45179</v>
      </c>
    </row>
    <row r="37" spans="1:24" ht="14.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7">
        <v>45157</v>
      </c>
    </row>
    <row r="38" spans="1:24" ht="14.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7">
        <v>45143</v>
      </c>
    </row>
    <row r="39" spans="1:24" ht="14.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7">
        <v>45166</v>
      </c>
    </row>
    <row r="40" spans="1:24" ht="14.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7">
        <v>45162</v>
      </c>
    </row>
  </sheetData>
  <conditionalFormatting sqref="A1:A40">
    <cfRule type="duplicateValues" dxfId="3" priority="2"/>
  </conditionalFormatting>
  <conditionalFormatting sqref="B1:B40">
    <cfRule type="duplicateValues" dxfId="2"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11315-F357-4223-9333-93649666D663}">
  <dimension ref="A1:J40"/>
  <sheetViews>
    <sheetView workbookViewId="0">
      <selection activeCell="E11" sqref="E11"/>
    </sheetView>
  </sheetViews>
  <sheetFormatPr defaultRowHeight="13.2" x14ac:dyDescent="0.25"/>
  <sheetData>
    <row r="1" spans="1:10" ht="14.4" x14ac:dyDescent="0.3">
      <c r="A1" s="47" t="s">
        <v>104</v>
      </c>
      <c r="B1" s="47"/>
      <c r="C1" s="47"/>
      <c r="D1" s="47"/>
      <c r="E1" s="47"/>
      <c r="F1" s="47"/>
      <c r="G1" s="47"/>
      <c r="H1" s="47"/>
      <c r="I1" s="47"/>
      <c r="J1" s="47"/>
    </row>
    <row r="2" spans="1:10" ht="14.4" x14ac:dyDescent="0.3">
      <c r="A2" s="1"/>
    </row>
    <row r="3" spans="1:10" ht="14.4" x14ac:dyDescent="0.3">
      <c r="A3" s="1"/>
      <c r="B3">
        <f>SUMIF(Dataset!H:H, "&gt;20")</f>
        <v>1473.0000000000002</v>
      </c>
      <c r="D3" s="48" t="s">
        <v>179</v>
      </c>
      <c r="E3" s="48"/>
      <c r="F3" s="48"/>
      <c r="G3" s="48"/>
      <c r="H3" s="48"/>
      <c r="I3" s="48"/>
      <c r="J3" s="48"/>
    </row>
    <row r="4" spans="1:10" ht="14.4" x14ac:dyDescent="0.3">
      <c r="A4" s="1"/>
      <c r="D4" s="48"/>
      <c r="E4" s="48"/>
      <c r="F4" s="48"/>
      <c r="G4" s="48"/>
      <c r="H4" s="48"/>
      <c r="I4" s="48"/>
      <c r="J4" s="48"/>
    </row>
    <row r="5" spans="1:10" ht="14.4" x14ac:dyDescent="0.3">
      <c r="A5" s="1"/>
      <c r="D5" s="48"/>
      <c r="E5" s="48"/>
      <c r="F5" s="48"/>
      <c r="G5" s="48"/>
      <c r="H5" s="48"/>
      <c r="I5" s="48"/>
      <c r="J5" s="48"/>
    </row>
    <row r="6" spans="1:10" ht="14.4" x14ac:dyDescent="0.3">
      <c r="A6" s="1"/>
      <c r="D6" s="48"/>
      <c r="E6" s="48"/>
      <c r="F6" s="48"/>
      <c r="G6" s="48"/>
      <c r="H6" s="48"/>
      <c r="I6" s="48"/>
      <c r="J6" s="48"/>
    </row>
    <row r="7" spans="1:10" ht="14.4" x14ac:dyDescent="0.3">
      <c r="A7" s="1"/>
    </row>
    <row r="8" spans="1:10" ht="14.4" x14ac:dyDescent="0.3">
      <c r="A8" s="1"/>
    </row>
    <row r="9" spans="1:10" ht="14.4" x14ac:dyDescent="0.3">
      <c r="A9" s="1"/>
    </row>
    <row r="10" spans="1:10" ht="14.4" x14ac:dyDescent="0.3">
      <c r="A10" s="1"/>
    </row>
    <row r="11" spans="1:10" ht="14.4" x14ac:dyDescent="0.3">
      <c r="A11" s="1"/>
    </row>
    <row r="12" spans="1:10" ht="14.4" x14ac:dyDescent="0.3">
      <c r="A12" s="1"/>
    </row>
    <row r="13" spans="1:10" ht="14.4" x14ac:dyDescent="0.3">
      <c r="A13" s="1"/>
    </row>
    <row r="14" spans="1:10" ht="14.4" x14ac:dyDescent="0.3">
      <c r="A14" s="1"/>
    </row>
    <row r="15" spans="1:10" ht="14.4" x14ac:dyDescent="0.3">
      <c r="A15" s="1"/>
    </row>
    <row r="16" spans="1:10" ht="14.4" x14ac:dyDescent="0.3">
      <c r="A16" s="1"/>
    </row>
    <row r="17" spans="1:1" ht="14.4" x14ac:dyDescent="0.3">
      <c r="A17" s="1"/>
    </row>
    <row r="18" spans="1:1" ht="14.4" x14ac:dyDescent="0.3">
      <c r="A18" s="1"/>
    </row>
    <row r="19" spans="1:1" ht="14.4" x14ac:dyDescent="0.3">
      <c r="A19" s="1"/>
    </row>
    <row r="20" spans="1:1" ht="14.4" x14ac:dyDescent="0.3">
      <c r="A20" s="1"/>
    </row>
    <row r="21" spans="1:1" ht="14.4" x14ac:dyDescent="0.3">
      <c r="A21" s="1"/>
    </row>
    <row r="22" spans="1:1" ht="14.4" x14ac:dyDescent="0.3">
      <c r="A22" s="1"/>
    </row>
    <row r="23" spans="1:1" ht="14.4" x14ac:dyDescent="0.3">
      <c r="A23" s="1"/>
    </row>
    <row r="24" spans="1:1" ht="14.4" x14ac:dyDescent="0.3">
      <c r="A24" s="1"/>
    </row>
    <row r="25" spans="1:1" ht="14.4" x14ac:dyDescent="0.3">
      <c r="A25" s="1"/>
    </row>
    <row r="26" spans="1:1" ht="14.4" x14ac:dyDescent="0.3">
      <c r="A26" s="1"/>
    </row>
    <row r="27" spans="1:1" ht="14.4" x14ac:dyDescent="0.3">
      <c r="A27" s="1"/>
    </row>
    <row r="28" spans="1:1" ht="14.4" x14ac:dyDescent="0.3">
      <c r="A28" s="1"/>
    </row>
    <row r="29" spans="1:1" ht="14.4" x14ac:dyDescent="0.3">
      <c r="A29" s="1"/>
    </row>
    <row r="30" spans="1:1" ht="14.4" x14ac:dyDescent="0.3">
      <c r="A30" s="1"/>
    </row>
    <row r="31" spans="1:1" ht="14.4" x14ac:dyDescent="0.3">
      <c r="A31" s="1"/>
    </row>
    <row r="32" spans="1:1" ht="14.4" x14ac:dyDescent="0.3">
      <c r="A32" s="1"/>
    </row>
    <row r="33" spans="1:1" ht="14.4" x14ac:dyDescent="0.3">
      <c r="A33" s="1"/>
    </row>
    <row r="34" spans="1:1" ht="14.4" x14ac:dyDescent="0.3">
      <c r="A34" s="1"/>
    </row>
    <row r="35" spans="1:1" ht="14.4" x14ac:dyDescent="0.3">
      <c r="A35" s="1"/>
    </row>
    <row r="36" spans="1:1" ht="14.4" x14ac:dyDescent="0.3">
      <c r="A36" s="1"/>
    </row>
    <row r="37" spans="1:1" ht="14.4" x14ac:dyDescent="0.3">
      <c r="A37" s="1"/>
    </row>
    <row r="38" spans="1:1" ht="14.4" x14ac:dyDescent="0.3">
      <c r="A38" s="1"/>
    </row>
    <row r="39" spans="1:1" ht="14.4" x14ac:dyDescent="0.3">
      <c r="A39" s="1"/>
    </row>
    <row r="40" spans="1:1" ht="14.4" x14ac:dyDescent="0.3">
      <c r="A40" s="1"/>
    </row>
  </sheetData>
  <mergeCells count="2">
    <mergeCell ref="A1:J1"/>
    <mergeCell ref="D3:J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EAFAE-4722-4FBC-AF40-5108D147A35D}">
  <dimension ref="A1:H42"/>
  <sheetViews>
    <sheetView workbookViewId="0">
      <selection activeCell="F23" sqref="F23"/>
    </sheetView>
  </sheetViews>
  <sheetFormatPr defaultRowHeight="13.2" x14ac:dyDescent="0.25"/>
  <cols>
    <col min="1" max="1" width="13.109375" customWidth="1"/>
  </cols>
  <sheetData>
    <row r="1" spans="1:8" ht="13.8" x14ac:dyDescent="0.3">
      <c r="A1" s="46" t="s">
        <v>106</v>
      </c>
      <c r="B1" s="46"/>
      <c r="C1" s="46"/>
      <c r="D1" s="46"/>
      <c r="E1" s="46"/>
      <c r="F1" s="46"/>
      <c r="G1" s="46"/>
      <c r="H1" s="46"/>
    </row>
    <row r="3" spans="1:8" ht="14.4" x14ac:dyDescent="0.3">
      <c r="A3" s="49" t="s">
        <v>105</v>
      </c>
    </row>
    <row r="4" spans="1:8" ht="14.4" x14ac:dyDescent="0.3">
      <c r="A4" s="50">
        <v>45051</v>
      </c>
      <c r="C4" s="51" t="s">
        <v>180</v>
      </c>
    </row>
    <row r="5" spans="1:8" ht="14.4" x14ac:dyDescent="0.3">
      <c r="A5" s="50">
        <v>45048</v>
      </c>
    </row>
    <row r="6" spans="1:8" ht="14.4" x14ac:dyDescent="0.3">
      <c r="A6" s="50">
        <v>45055</v>
      </c>
    </row>
    <row r="7" spans="1:8" ht="14.4" x14ac:dyDescent="0.3">
      <c r="A7" s="50">
        <v>45059</v>
      </c>
    </row>
    <row r="8" spans="1:8" ht="14.4" x14ac:dyDescent="0.3">
      <c r="A8" s="50">
        <v>45076</v>
      </c>
    </row>
    <row r="9" spans="1:8" ht="14.4" x14ac:dyDescent="0.3">
      <c r="A9" s="50">
        <v>45057</v>
      </c>
    </row>
    <row r="10" spans="1:8" ht="14.4" x14ac:dyDescent="0.3">
      <c r="A10" s="50">
        <v>45052</v>
      </c>
    </row>
    <row r="11" spans="1:8" ht="14.4" x14ac:dyDescent="0.3">
      <c r="A11" s="50">
        <v>45098</v>
      </c>
    </row>
    <row r="12" spans="1:8" ht="14.4" x14ac:dyDescent="0.3">
      <c r="A12" s="50">
        <v>45092</v>
      </c>
    </row>
    <row r="13" spans="1:8" ht="14.4" x14ac:dyDescent="0.3">
      <c r="A13" s="50">
        <v>45104</v>
      </c>
    </row>
    <row r="14" spans="1:8" ht="14.4" x14ac:dyDescent="0.3">
      <c r="A14" s="50">
        <v>45116</v>
      </c>
    </row>
    <row r="15" spans="1:8" ht="14.4" x14ac:dyDescent="0.3">
      <c r="A15" s="50">
        <v>45110</v>
      </c>
    </row>
    <row r="16" spans="1:8" ht="14.4" x14ac:dyDescent="0.3">
      <c r="A16" s="50">
        <v>45095</v>
      </c>
    </row>
    <row r="17" spans="1:1" ht="14.4" x14ac:dyDescent="0.3">
      <c r="A17" s="50">
        <v>45113</v>
      </c>
    </row>
    <row r="18" spans="1:1" ht="14.4" x14ac:dyDescent="0.3">
      <c r="A18" s="50">
        <v>45063</v>
      </c>
    </row>
    <row r="19" spans="1:1" ht="14.4" x14ac:dyDescent="0.3">
      <c r="A19" s="50">
        <v>45071</v>
      </c>
    </row>
    <row r="20" spans="1:1" ht="14.4" x14ac:dyDescent="0.3">
      <c r="A20" s="50">
        <v>45085</v>
      </c>
    </row>
    <row r="21" spans="1:1" ht="14.4" x14ac:dyDescent="0.3">
      <c r="A21" s="50">
        <v>45099</v>
      </c>
    </row>
    <row r="22" spans="1:1" ht="14.4" x14ac:dyDescent="0.3">
      <c r="A22" s="50">
        <v>45091</v>
      </c>
    </row>
    <row r="23" spans="1:1" ht="14.4" x14ac:dyDescent="0.3">
      <c r="A23" s="50">
        <v>45079</v>
      </c>
    </row>
    <row r="24" spans="1:1" ht="14.4" x14ac:dyDescent="0.3">
      <c r="A24" s="50">
        <v>45075</v>
      </c>
    </row>
    <row r="25" spans="1:1" ht="14.4" x14ac:dyDescent="0.3">
      <c r="A25" s="50">
        <v>45110</v>
      </c>
    </row>
    <row r="26" spans="1:1" ht="14.4" x14ac:dyDescent="0.3">
      <c r="A26" s="50">
        <v>45114</v>
      </c>
    </row>
    <row r="27" spans="1:1" ht="14.4" x14ac:dyDescent="0.3">
      <c r="A27" s="50">
        <v>45118</v>
      </c>
    </row>
    <row r="28" spans="1:1" ht="14.4" x14ac:dyDescent="0.3">
      <c r="A28" s="50">
        <v>45142</v>
      </c>
    </row>
    <row r="29" spans="1:1" ht="14.4" x14ac:dyDescent="0.3">
      <c r="A29" s="50">
        <v>45146</v>
      </c>
    </row>
    <row r="30" spans="1:1" ht="14.4" x14ac:dyDescent="0.3">
      <c r="A30" s="50">
        <v>45108</v>
      </c>
    </row>
    <row r="31" spans="1:1" ht="14.4" x14ac:dyDescent="0.3">
      <c r="A31" s="50">
        <v>45153</v>
      </c>
    </row>
    <row r="32" spans="1:1" ht="14.4" x14ac:dyDescent="0.3">
      <c r="A32" s="50">
        <v>45150</v>
      </c>
    </row>
    <row r="33" spans="1:1" ht="14.4" x14ac:dyDescent="0.3">
      <c r="A33" s="50">
        <v>45157</v>
      </c>
    </row>
    <row r="34" spans="1:1" ht="14.4" x14ac:dyDescent="0.3">
      <c r="A34" s="50">
        <v>45143</v>
      </c>
    </row>
    <row r="35" spans="1:1" ht="14.4" x14ac:dyDescent="0.3">
      <c r="A35" s="50">
        <v>45166</v>
      </c>
    </row>
    <row r="36" spans="1:1" ht="14.4" x14ac:dyDescent="0.3">
      <c r="A36" s="50">
        <v>45162</v>
      </c>
    </row>
    <row r="37" spans="1:1" ht="14.4" x14ac:dyDescent="0.3">
      <c r="A37" s="50">
        <v>45160</v>
      </c>
    </row>
    <row r="38" spans="1:1" ht="14.4" x14ac:dyDescent="0.3">
      <c r="A38" s="50">
        <v>45179</v>
      </c>
    </row>
    <row r="39" spans="1:1" ht="14.4" x14ac:dyDescent="0.3">
      <c r="A39" s="50">
        <v>45157</v>
      </c>
    </row>
    <row r="40" spans="1:1" ht="14.4" x14ac:dyDescent="0.3">
      <c r="A40" s="50">
        <v>45143</v>
      </c>
    </row>
    <row r="41" spans="1:1" ht="14.4" x14ac:dyDescent="0.3">
      <c r="A41" s="50">
        <v>45166</v>
      </c>
    </row>
    <row r="42" spans="1:1" ht="14.4" x14ac:dyDescent="0.3">
      <c r="A42" s="50">
        <v>45162</v>
      </c>
    </row>
  </sheetData>
  <mergeCells count="1">
    <mergeCell ref="A1: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L30"/>
  <sheetViews>
    <sheetView zoomScaleNormal="100" workbookViewId="0">
      <selection activeCell="H22" sqref="H22"/>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12" s="42" customFormat="1" ht="21" x14ac:dyDescent="0.4">
      <c r="A1" s="43" t="s">
        <v>55</v>
      </c>
      <c r="B1" s="42" t="s">
        <v>163</v>
      </c>
    </row>
    <row r="2" spans="1:12" s="42" customFormat="1" ht="21" x14ac:dyDescent="0.4">
      <c r="B2" s="42" t="s">
        <v>160</v>
      </c>
    </row>
    <row r="3" spans="1:12" ht="14.4" x14ac:dyDescent="0.3">
      <c r="A3" s="1"/>
      <c r="B3" s="1"/>
      <c r="C3" s="1"/>
      <c r="D3" s="1"/>
      <c r="E3" s="1"/>
      <c r="F3" s="1"/>
      <c r="G3" s="1"/>
    </row>
    <row r="4" spans="1:12" ht="23.4" x14ac:dyDescent="0.45">
      <c r="A4" s="18" t="s">
        <v>161</v>
      </c>
      <c r="B4" s="1"/>
      <c r="C4" s="1"/>
      <c r="D4" s="1"/>
      <c r="E4" s="1"/>
      <c r="F4" s="1"/>
      <c r="G4" s="1"/>
    </row>
    <row r="5" spans="1:12" ht="14.4" x14ac:dyDescent="0.3">
      <c r="A5" s="20" t="s">
        <v>64</v>
      </c>
      <c r="B5" s="21" t="s">
        <v>79</v>
      </c>
      <c r="C5" s="22" t="s">
        <v>71</v>
      </c>
      <c r="D5" s="21" t="s">
        <v>75</v>
      </c>
      <c r="E5" s="22" t="s">
        <v>76</v>
      </c>
      <c r="F5" s="23" t="s">
        <v>77</v>
      </c>
    </row>
    <row r="6" spans="1:12" ht="14.4" x14ac:dyDescent="0.3">
      <c r="A6" s="7" t="s">
        <v>40</v>
      </c>
      <c r="B6" s="12">
        <f>VLOOKUP(A6,Dataset!$A$1:$X$40,7, FALSE)</f>
        <v>2.7</v>
      </c>
      <c r="C6" s="12">
        <f>VLOOKUP(A6,Dataset!$A$1:$X$40,14, FALSE)</f>
        <v>7.6</v>
      </c>
      <c r="D6" s="12">
        <f>VLOOKUP(A6,Dataset!$A$1:$X$40,18, FALSE)</f>
        <v>4.2</v>
      </c>
      <c r="E6" s="12">
        <f>VLOOKUP(A6,Dataset!$A$1:$X$40,20, FALSE)</f>
        <v>8.9</v>
      </c>
      <c r="F6" s="8">
        <f>VLOOKUP(A6,Dataset!$A$1:$X$40,22, FALSE)</f>
        <v>4.2</v>
      </c>
    </row>
    <row r="7" spans="1:12" ht="14.4" x14ac:dyDescent="0.3">
      <c r="A7" s="7" t="s">
        <v>4</v>
      </c>
      <c r="B7" s="12">
        <f>VLOOKUP(A7,Dataset!$A$1:$X$40,7, FALSE)</f>
        <v>2.7</v>
      </c>
      <c r="C7" s="12">
        <f>VLOOKUP(A7,Dataset!$A$1:$X$40,14, FALSE)</f>
        <v>7.6</v>
      </c>
      <c r="D7" s="12">
        <f>VLOOKUP(A7,Dataset!$A$1:$X$40,18, FALSE)</f>
        <v>4.2</v>
      </c>
      <c r="E7" s="12">
        <f>VLOOKUP(A7,Dataset!$A$1:$X$40,20, FALSE)</f>
        <v>8.9</v>
      </c>
      <c r="F7" s="8">
        <f>VLOOKUP(A7,Dataset!$A$1:$X$40,22, FALSE)</f>
        <v>4.2</v>
      </c>
      <c r="I7" s="52" t="s">
        <v>181</v>
      </c>
      <c r="J7" s="52"/>
      <c r="K7" s="52"/>
      <c r="L7" s="52"/>
    </row>
    <row r="8" spans="1:12" ht="14.4" x14ac:dyDescent="0.3">
      <c r="A8" s="7" t="s">
        <v>7</v>
      </c>
      <c r="B8" s="12">
        <f>VLOOKUP(A8,Dataset!$A$1:$X$40,7, FALSE)</f>
        <v>3.6</v>
      </c>
      <c r="C8" s="12">
        <f>VLOOKUP(A8,Dataset!$A$1:$X$40,14, FALSE)</f>
        <v>11.1</v>
      </c>
      <c r="D8" s="12">
        <f>VLOOKUP(A8,Dataset!$A$1:$X$40,18, FALSE)</f>
        <v>5.8</v>
      </c>
      <c r="E8" s="12">
        <f>VLOOKUP(A8,Dataset!$A$1:$X$40,20, FALSE)</f>
        <v>12.2</v>
      </c>
      <c r="F8" s="8">
        <f>VLOOKUP(A8,Dataset!$A$1:$X$40,22, FALSE)</f>
        <v>5.8</v>
      </c>
    </row>
    <row r="9" spans="1:12" ht="14.4" x14ac:dyDescent="0.3">
      <c r="A9" s="7" t="s">
        <v>8</v>
      </c>
      <c r="B9" s="12">
        <f>VLOOKUP(A9,Dataset!$A$1:$X$40,7, FALSE)</f>
        <v>4.9000000000000004</v>
      </c>
      <c r="C9" s="12">
        <f>VLOOKUP(A9,Dataset!$A$1:$X$40,14, FALSE)</f>
        <v>13.3</v>
      </c>
      <c r="D9" s="12">
        <f>VLOOKUP(A9,Dataset!$A$1:$X$40,18, FALSE)</f>
        <v>8.1</v>
      </c>
      <c r="E9" s="12">
        <f>VLOOKUP(A9,Dataset!$A$1:$X$40,20, FALSE)</f>
        <v>17</v>
      </c>
      <c r="F9" s="8">
        <f>VLOOKUP(A9,Dataset!$A$1:$X$40,22, FALSE)</f>
        <v>8.1</v>
      </c>
    </row>
    <row r="10" spans="1:12" ht="14.4" x14ac:dyDescent="0.3">
      <c r="A10" s="7" t="s">
        <v>11</v>
      </c>
      <c r="B10" s="12">
        <f>VLOOKUP(A10,Dataset!$A$1:$X$40,7, FALSE)</f>
        <v>9.4</v>
      </c>
      <c r="C10" s="12">
        <f>VLOOKUP(A10,Dataset!$A$1:$X$40,14, FALSE)</f>
        <v>28.3</v>
      </c>
      <c r="D10" s="12">
        <f>VLOOKUP(A10,Dataset!$A$1:$X$40,18, FALSE)</f>
        <v>16.100000000000001</v>
      </c>
      <c r="E10" s="12">
        <f>VLOOKUP(A10,Dataset!$A$1:$X$40,20, FALSE)</f>
        <v>32.799999999999997</v>
      </c>
      <c r="F10" s="8">
        <f>VLOOKUP(A10,Dataset!$A$1:$X$40,22, FALSE)</f>
        <v>16.100000000000001</v>
      </c>
    </row>
    <row r="11" spans="1:12" ht="14.4" x14ac:dyDescent="0.3">
      <c r="A11" s="7" t="s">
        <v>12</v>
      </c>
      <c r="B11" s="12">
        <f>VLOOKUP(A11,Dataset!$A$1:$X$40,7, FALSE)</f>
        <v>11.6</v>
      </c>
      <c r="C11" s="12">
        <f>VLOOKUP(A11,Dataset!$A$1:$X$40,14, FALSE)</f>
        <v>35.200000000000003</v>
      </c>
      <c r="D11" s="12">
        <f>VLOOKUP(A11,Dataset!$A$1:$X$40,18, FALSE)</f>
        <v>21.3</v>
      </c>
      <c r="E11" s="12">
        <f>VLOOKUP(A11,Dataset!$A$1:$X$40,20, FALSE)</f>
        <v>43</v>
      </c>
      <c r="F11" s="8">
        <f>VLOOKUP(A11,Dataset!$A$1:$X$40,22, FALSE)</f>
        <v>21.3</v>
      </c>
    </row>
    <row r="12" spans="1:12" ht="14.4" x14ac:dyDescent="0.3">
      <c r="A12" s="7" t="s">
        <v>14</v>
      </c>
      <c r="B12" s="12">
        <f>VLOOKUP(A12,Dataset!$A$1:$X$40,7, FALSE)</f>
        <v>18.399999999999999</v>
      </c>
      <c r="C12" s="12">
        <f>VLOOKUP(A12,Dataset!$A$1:$X$40,14, FALSE)</f>
        <v>55.6</v>
      </c>
      <c r="D12" s="12">
        <f>VLOOKUP(A12,Dataset!$A$1:$X$40,18, FALSE)</f>
        <v>33.799999999999997</v>
      </c>
      <c r="E12" s="12">
        <f>VLOOKUP(A12,Dataset!$A$1:$X$40,20, FALSE)</f>
        <v>67.900000000000006</v>
      </c>
      <c r="F12" s="8">
        <f>VLOOKUP(A12,Dataset!$A$1:$X$40,22, FALSE)</f>
        <v>33.799999999999997</v>
      </c>
    </row>
    <row r="13" spans="1:12" ht="14.4" x14ac:dyDescent="0.3">
      <c r="A13" s="7" t="s">
        <v>15</v>
      </c>
      <c r="B13" s="12">
        <f>VLOOKUP(A13,Dataset!$A$1:$X$40,7, FALSE)</f>
        <v>0</v>
      </c>
      <c r="C13" s="12">
        <f>VLOOKUP(A13,Dataset!$A$1:$X$40,14, FALSE)</f>
        <v>0</v>
      </c>
      <c r="D13" s="12">
        <f>VLOOKUP(A13,Dataset!$A$1:$X$40,18, FALSE)</f>
        <v>0</v>
      </c>
      <c r="E13" s="12">
        <f>VLOOKUP(A13,Dataset!$A$1:$X$40,20, FALSE)</f>
        <v>0</v>
      </c>
      <c r="F13" s="8">
        <f>VLOOKUP(A13,Dataset!$A$1:$X$40,22, FALSE)</f>
        <v>0</v>
      </c>
    </row>
    <row r="14" spans="1:12" ht="14.4" x14ac:dyDescent="0.3">
      <c r="A14" s="7" t="s">
        <v>16</v>
      </c>
      <c r="B14" s="12">
        <f>VLOOKUP(A14,Dataset!$A$1:$X$40,7, FALSE)</f>
        <v>21.9</v>
      </c>
      <c r="C14" s="12">
        <f>VLOOKUP(A14,Dataset!$A$1:$X$40,14, FALSE)</f>
        <v>61.5</v>
      </c>
      <c r="D14" s="12">
        <f>VLOOKUP(A14,Dataset!$A$1:$X$40,18, FALSE)</f>
        <v>40.1</v>
      </c>
      <c r="E14" s="12">
        <f>VLOOKUP(A14,Dataset!$A$1:$X$40,20, FALSE)</f>
        <v>76.599999999999994</v>
      </c>
      <c r="F14" s="8">
        <f>VLOOKUP(A14,Dataset!$A$1:$X$40,22, FALSE)</f>
        <v>40.1</v>
      </c>
    </row>
    <row r="15" spans="1:12" ht="14.4" x14ac:dyDescent="0.3">
      <c r="A15" s="7" t="s">
        <v>18</v>
      </c>
      <c r="B15" s="12">
        <f>VLOOKUP(A15,Dataset!$A$1:$X$40,7, FALSE)</f>
        <v>26.8</v>
      </c>
      <c r="C15" s="12">
        <f>VLOOKUP(A15,Dataset!$A$1:$X$40,14, FALSE)</f>
        <v>79.599999999999994</v>
      </c>
      <c r="D15" s="12">
        <f>VLOOKUP(A15,Dataset!$A$1:$X$40,18, FALSE)</f>
        <v>47.9</v>
      </c>
      <c r="E15" s="12">
        <f>VLOOKUP(A15,Dataset!$A$1:$X$40,20, FALSE)</f>
        <v>96.8</v>
      </c>
      <c r="F15" s="8">
        <f>VLOOKUP(A15,Dataset!$A$1:$X$40,22, FALSE)</f>
        <v>47.9</v>
      </c>
    </row>
    <row r="16" spans="1:12" ht="14.4" x14ac:dyDescent="0.3">
      <c r="A16" s="7" t="s">
        <v>20</v>
      </c>
      <c r="B16" s="12">
        <f>VLOOKUP(A16,Dataset!$A$1:$X$40,7, FALSE)</f>
        <v>28.5</v>
      </c>
      <c r="C16" s="12">
        <f>VLOOKUP(A16,Dataset!$A$1:$X$40,14, FALSE)</f>
        <v>85.4</v>
      </c>
      <c r="D16" s="12">
        <f>VLOOKUP(A16,Dataset!$A$1:$X$40,18, FALSE)</f>
        <v>52.3</v>
      </c>
      <c r="E16" s="12">
        <f>VLOOKUP(A16,Dataset!$A$1:$X$40,20, FALSE)</f>
        <v>106.1</v>
      </c>
      <c r="F16" s="8">
        <f>VLOOKUP(A16,Dataset!$A$1:$X$40,22, FALSE)</f>
        <v>52.3</v>
      </c>
    </row>
    <row r="17" spans="1:6" ht="14.4" x14ac:dyDescent="0.3">
      <c r="A17" s="7" t="s">
        <v>22</v>
      </c>
      <c r="B17" s="12">
        <f>VLOOKUP(A17,Dataset!$A$1:$X$40,7, FALSE)</f>
        <v>30.7</v>
      </c>
      <c r="C17" s="12">
        <f>VLOOKUP(A17,Dataset!$A$1:$X$40,14, FALSE)</f>
        <v>92.1</v>
      </c>
      <c r="D17" s="12">
        <f>VLOOKUP(A17,Dataset!$A$1:$X$40,18, FALSE)</f>
        <v>57</v>
      </c>
      <c r="E17" s="12">
        <f>VLOOKUP(A17,Dataset!$A$1:$X$40,20, FALSE)</f>
        <v>115.1</v>
      </c>
      <c r="F17" s="8">
        <f>VLOOKUP(A17,Dataset!$A$1:$X$40,22, FALSE)</f>
        <v>57</v>
      </c>
    </row>
    <row r="18" spans="1:6" ht="14.4" x14ac:dyDescent="0.3">
      <c r="A18" s="7" t="s">
        <v>23</v>
      </c>
      <c r="B18" s="12">
        <f>VLOOKUP(A18,Dataset!$A$1:$X$40,7, FALSE)</f>
        <v>33.799999999999997</v>
      </c>
      <c r="C18" s="12">
        <f>VLOOKUP(A18,Dataset!$A$1:$X$40,14, FALSE)</f>
        <v>101.3</v>
      </c>
      <c r="D18" s="12">
        <f>VLOOKUP(A18,Dataset!$A$1:$X$40,18, FALSE)</f>
        <v>61.4</v>
      </c>
      <c r="E18" s="12">
        <f>VLOOKUP(A18,Dataset!$A$1:$X$40,20, FALSE)</f>
        <v>124.4</v>
      </c>
      <c r="F18" s="8">
        <f>VLOOKUP(A18,Dataset!$A$1:$X$40,22, FALSE)</f>
        <v>61.4</v>
      </c>
    </row>
    <row r="19" spans="1:6" ht="14.4" x14ac:dyDescent="0.3">
      <c r="A19" s="7" t="s">
        <v>24</v>
      </c>
      <c r="B19" s="12">
        <f>VLOOKUP(A19,Dataset!$A$1:$X$40,7, FALSE)</f>
        <v>34.700000000000003</v>
      </c>
      <c r="C19" s="12">
        <f>VLOOKUP(A19,Dataset!$A$1:$X$40,14, FALSE)</f>
        <v>106.1</v>
      </c>
      <c r="D19" s="12">
        <f>VLOOKUP(A19,Dataset!$A$1:$X$40,18, FALSE)</f>
        <v>63.6</v>
      </c>
      <c r="E19" s="12">
        <f>VLOOKUP(A19,Dataset!$A$1:$X$40,20, FALSE)</f>
        <v>128.6</v>
      </c>
      <c r="F19" s="8">
        <f>VLOOKUP(A19,Dataset!$A$1:$X$40,22, FALSE)</f>
        <v>63.6</v>
      </c>
    </row>
    <row r="20" spans="1:6" ht="14.4" x14ac:dyDescent="0.3">
      <c r="A20" s="7" t="s">
        <v>28</v>
      </c>
      <c r="B20" s="12">
        <f>VLOOKUP(A20,Dataset!$A$1:$X$40,7, FALSE)</f>
        <v>0</v>
      </c>
      <c r="C20" s="12">
        <f>VLOOKUP(A20,Dataset!$A$1:$X$40,14, FALSE)</f>
        <v>0</v>
      </c>
      <c r="D20" s="12">
        <f>VLOOKUP(A20,Dataset!$A$1:$X$40,18, FALSE)</f>
        <v>0</v>
      </c>
      <c r="E20" s="12">
        <f>VLOOKUP(A20,Dataset!$A$1:$X$40,20, FALSE)</f>
        <v>0</v>
      </c>
      <c r="F20" s="8">
        <f>VLOOKUP(A20,Dataset!$A$1:$X$40,22, FALSE)</f>
        <v>0</v>
      </c>
    </row>
    <row r="21" spans="1:6" ht="14.4" x14ac:dyDescent="0.3">
      <c r="A21" s="7" t="s">
        <v>57</v>
      </c>
      <c r="B21" s="12">
        <f>VLOOKUP(A21,Dataset!$A$1:$X$40,7, FALSE)</f>
        <v>41.3</v>
      </c>
      <c r="C21" s="12">
        <f>VLOOKUP(A21,Dataset!$A$1:$X$40,14, FALSE)</f>
        <v>124.4</v>
      </c>
      <c r="D21" s="12">
        <f>VLOOKUP(A21,Dataset!$A$1:$X$40,18, FALSE)</f>
        <v>75</v>
      </c>
      <c r="E21" s="12">
        <f>VLOOKUP(A21,Dataset!$A$1:$X$40,20, FALSE)</f>
        <v>151.5</v>
      </c>
      <c r="F21" s="8">
        <f>VLOOKUP(A21,Dataset!$A$1:$X$40,22, FALSE)</f>
        <v>75</v>
      </c>
    </row>
    <row r="22" spans="1:6" ht="14.4" x14ac:dyDescent="0.3">
      <c r="A22" s="7" t="s">
        <v>58</v>
      </c>
      <c r="B22" s="12">
        <f>VLOOKUP(A22,Dataset!$A$1:$X$40,7, FALSE)</f>
        <v>-1</v>
      </c>
      <c r="C22" s="12">
        <f>VLOOKUP(A22,Dataset!$A$1:$X$40,14, FALSE)</f>
        <v>-1</v>
      </c>
      <c r="D22" s="12">
        <f>VLOOKUP(A22,Dataset!$A$1:$X$40,18, FALSE)</f>
        <v>-1</v>
      </c>
      <c r="E22" s="12">
        <f>VLOOKUP(A22,Dataset!$A$1:$X$40,20, FALSE)</f>
        <v>-1</v>
      </c>
      <c r="F22" s="8">
        <f>VLOOKUP(A22,Dataset!$A$1:$X$40,22, FALSE)</f>
        <v>-1</v>
      </c>
    </row>
    <row r="23" spans="1:6" ht="14.4" x14ac:dyDescent="0.3">
      <c r="A23" s="7" t="s">
        <v>31</v>
      </c>
      <c r="B23" s="12">
        <f>VLOOKUP(A23,Dataset!$A$1:$X$40,7, FALSE)</f>
        <v>45</v>
      </c>
      <c r="C23" s="12">
        <f>VLOOKUP(A23,Dataset!$A$1:$X$40,14, FALSE)</f>
        <v>133.4</v>
      </c>
      <c r="D23" s="12">
        <f>VLOOKUP(A23,Dataset!$A$1:$X$40,18, FALSE)</f>
        <v>79.400000000000006</v>
      </c>
      <c r="E23" s="12">
        <f>VLOOKUP(A23,Dataset!$A$1:$X$40,20, FALSE)</f>
        <v>160.9</v>
      </c>
      <c r="F23" s="8">
        <f>VLOOKUP(A23,Dataset!$A$1:$X$40,22, FALSE)</f>
        <v>79.400000000000006</v>
      </c>
    </row>
    <row r="24" spans="1:6" ht="14.4" x14ac:dyDescent="0.3">
      <c r="A24" s="7" t="s">
        <v>32</v>
      </c>
      <c r="B24" s="12">
        <f>VLOOKUP(A24,Dataset!$A$1:$X$40,7, FALSE)</f>
        <v>-1</v>
      </c>
      <c r="C24" s="12">
        <f>VLOOKUP(A24,Dataset!$A$1:$X$40,14, FALSE)</f>
        <v>-1</v>
      </c>
      <c r="D24" s="12">
        <f>VLOOKUP(A24,Dataset!$A$1:$X$40,18, FALSE)</f>
        <v>-1</v>
      </c>
      <c r="E24" s="12">
        <f>VLOOKUP(A24,Dataset!$A$1:$X$40,20, FALSE)</f>
        <v>-1</v>
      </c>
      <c r="F24" s="8">
        <f>VLOOKUP(A24,Dataset!$A$1:$X$40,22, FALSE)</f>
        <v>-1</v>
      </c>
    </row>
    <row r="25" spans="1:6" ht="14.4" x14ac:dyDescent="0.3">
      <c r="A25" s="7" t="s">
        <v>34</v>
      </c>
      <c r="B25" s="12">
        <f>VLOOKUP(A25,Dataset!$A$1:$X$40,7, FALSE)</f>
        <v>43.3</v>
      </c>
      <c r="C25" s="12">
        <f>VLOOKUP(A25,Dataset!$A$1:$X$40,14, FALSE)</f>
        <v>128.6</v>
      </c>
      <c r="D25" s="12">
        <f>VLOOKUP(A25,Dataset!$A$1:$X$40,18, FALSE)</f>
        <v>79.400000000000006</v>
      </c>
      <c r="E25" s="12">
        <f>VLOOKUP(A25,Dataset!$A$1:$X$40,20, FALSE)</f>
        <v>160.9</v>
      </c>
      <c r="F25" s="8">
        <f>VLOOKUP(A25,Dataset!$A$1:$X$40,22, FALSE)</f>
        <v>79.400000000000006</v>
      </c>
    </row>
    <row r="26" spans="1:6" ht="14.4" x14ac:dyDescent="0.3">
      <c r="A26" s="7" t="s">
        <v>37</v>
      </c>
      <c r="B26" s="12">
        <f>VLOOKUP(A26,Dataset!$A$1:$X$40,7, FALSE)</f>
        <v>49.1</v>
      </c>
      <c r="C26" s="12">
        <f>VLOOKUP(A26,Dataset!$A$1:$X$40,14, FALSE)</f>
        <v>146.80000000000001</v>
      </c>
      <c r="D26" s="12">
        <f>VLOOKUP(A26,Dataset!$A$1:$X$40,18, FALSE)</f>
        <v>90.9</v>
      </c>
      <c r="E26" s="12">
        <f>VLOOKUP(A26,Dataset!$A$1:$X$40,20, FALSE)</f>
        <v>183.5</v>
      </c>
      <c r="F26" s="8">
        <f>VLOOKUP(A26,Dataset!$A$1:$X$40,22, FALSE)</f>
        <v>90.9</v>
      </c>
    </row>
    <row r="27" spans="1:6" ht="14.4" x14ac:dyDescent="0.3">
      <c r="A27" s="7" t="s">
        <v>39</v>
      </c>
      <c r="B27" s="12">
        <f>VLOOKUP(A27,Dataset!$A$1:$X$40,7, FALSE)</f>
        <v>51.8</v>
      </c>
      <c r="C27" s="12">
        <f>VLOOKUP(A27,Dataset!$A$1:$X$40,14, FALSE)</f>
        <v>156.4</v>
      </c>
      <c r="D27" s="12">
        <f>VLOOKUP(A27,Dataset!$A$1:$X$40,18, FALSE)</f>
        <v>93.1</v>
      </c>
      <c r="E27" s="12">
        <f>VLOOKUP(A27,Dataset!$A$1:$X$40,20, FALSE)</f>
        <v>188.1</v>
      </c>
      <c r="F27" s="8">
        <f>VLOOKUP(A27,Dataset!$A$1:$X$40,22, FALSE)</f>
        <v>93.1</v>
      </c>
    </row>
    <row r="28" spans="1:6" ht="14.4" x14ac:dyDescent="0.3">
      <c r="A28" s="19" t="s">
        <v>82</v>
      </c>
      <c r="B28" s="32">
        <f>MIN(B6:B27)</f>
        <v>-1</v>
      </c>
      <c r="C28" s="32">
        <f>MIN(C6:C27)</f>
        <v>-1</v>
      </c>
      <c r="D28" s="32">
        <f>MIN(D6:D27)</f>
        <v>-1</v>
      </c>
      <c r="E28" s="32">
        <f>MIN(E6:E27)</f>
        <v>-1</v>
      </c>
      <c r="F28" s="32">
        <f>MIN(F6:F27)</f>
        <v>-1</v>
      </c>
    </row>
    <row r="29" spans="1:6" ht="14.4" x14ac:dyDescent="0.3">
      <c r="A29" s="19" t="s">
        <v>83</v>
      </c>
      <c r="B29" s="32">
        <f>MAX(B6:B27)</f>
        <v>51.8</v>
      </c>
      <c r="C29" s="32">
        <f t="shared" ref="C29:F29" si="0">MAX(C6:C27)</f>
        <v>156.4</v>
      </c>
      <c r="D29" s="32">
        <f t="shared" si="0"/>
        <v>93.1</v>
      </c>
      <c r="E29" s="32">
        <f t="shared" si="0"/>
        <v>188.1</v>
      </c>
      <c r="F29" s="32">
        <f t="shared" si="0"/>
        <v>93.1</v>
      </c>
    </row>
    <row r="30" spans="1:6" ht="14.4" x14ac:dyDescent="0.3">
      <c r="A30" s="19" t="s">
        <v>84</v>
      </c>
      <c r="B30" s="32">
        <f>AVERAGE(B6:B27)</f>
        <v>20.827272727272728</v>
      </c>
      <c r="C30" s="32">
        <f t="shared" ref="C30:F30" si="1">AVERAGE(C6:C27)</f>
        <v>62.377272727272725</v>
      </c>
      <c r="D30" s="32">
        <f t="shared" si="1"/>
        <v>37.800000000000004</v>
      </c>
      <c r="E30" s="32">
        <f t="shared" si="1"/>
        <v>76.418181818181822</v>
      </c>
      <c r="F30" s="32">
        <f t="shared" si="1"/>
        <v>37.800000000000004</v>
      </c>
    </row>
  </sheetData>
  <mergeCells count="1">
    <mergeCell ref="I7:L7"/>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O54"/>
  <sheetViews>
    <sheetView zoomScaleNormal="100" workbookViewId="0">
      <selection activeCell="K9" sqref="K9"/>
    </sheetView>
  </sheetViews>
  <sheetFormatPr defaultColWidth="11" defaultRowHeight="14.4" x14ac:dyDescent="0.3"/>
  <cols>
    <col min="1" max="1" width="39.77734375" style="1" bestFit="1" customWidth="1"/>
    <col min="2" max="16384" width="11" style="1"/>
  </cols>
  <sheetData>
    <row r="1" spans="1:15" s="42" customFormat="1" ht="21" x14ac:dyDescent="0.4">
      <c r="A1" s="43" t="s">
        <v>56</v>
      </c>
      <c r="B1" s="42" t="s">
        <v>173</v>
      </c>
    </row>
    <row r="2" spans="1:15" customFormat="1" ht="13.2" x14ac:dyDescent="0.25"/>
    <row r="3" spans="1:15" s="2" customFormat="1" x14ac:dyDescent="0.3">
      <c r="B3" s="1"/>
    </row>
    <row r="4" spans="1:15" s="2" customFormat="1" x14ac:dyDescent="0.3">
      <c r="B4" s="1" t="s">
        <v>150</v>
      </c>
    </row>
    <row r="5" spans="1:15" ht="18" x14ac:dyDescent="0.35">
      <c r="A5" s="44" t="s">
        <v>53</v>
      </c>
      <c r="B5" s="41" t="s">
        <v>183</v>
      </c>
    </row>
    <row r="6" spans="1:15" ht="18" x14ac:dyDescent="0.35">
      <c r="A6" s="44" t="s">
        <v>152</v>
      </c>
      <c r="B6" s="53" t="s">
        <v>182</v>
      </c>
      <c r="C6" s="53"/>
      <c r="D6" s="53"/>
      <c r="E6" s="53"/>
      <c r="F6" s="53"/>
      <c r="G6" s="53"/>
      <c r="H6" s="53"/>
      <c r="I6" s="53"/>
      <c r="J6" s="53"/>
      <c r="K6" s="53"/>
      <c r="L6" s="53"/>
      <c r="M6" s="53"/>
      <c r="N6" s="53"/>
      <c r="O6" s="53"/>
    </row>
    <row r="7" spans="1:15" ht="18" x14ac:dyDescent="0.35">
      <c r="A7" s="44"/>
      <c r="B7" s="53"/>
      <c r="C7" s="53"/>
      <c r="D7" s="53"/>
      <c r="E7" s="53"/>
      <c r="F7" s="53"/>
      <c r="G7" s="53"/>
      <c r="H7" s="53"/>
      <c r="I7" s="53"/>
      <c r="J7" s="53"/>
      <c r="K7" s="53"/>
      <c r="L7" s="53"/>
      <c r="M7" s="53"/>
      <c r="N7" s="53"/>
      <c r="O7" s="53"/>
    </row>
    <row r="8" spans="1:15" x14ac:dyDescent="0.3">
      <c r="B8" s="53"/>
      <c r="C8" s="53"/>
      <c r="D8" s="53"/>
      <c r="E8" s="53"/>
      <c r="F8" s="53"/>
      <c r="G8" s="53"/>
      <c r="H8" s="53"/>
      <c r="I8" s="53"/>
      <c r="J8" s="53"/>
      <c r="K8" s="53"/>
      <c r="L8" s="53"/>
      <c r="M8" s="53"/>
      <c r="N8" s="53"/>
      <c r="O8" s="53"/>
    </row>
    <row r="9" spans="1:15" ht="23.4" x14ac:dyDescent="0.45">
      <c r="A9" s="18" t="s">
        <v>164</v>
      </c>
      <c r="I9" s="2"/>
      <c r="J9" s="2"/>
    </row>
    <row r="10" spans="1:15" x14ac:dyDescent="0.3">
      <c r="A10" s="34" t="s">
        <v>102</v>
      </c>
      <c r="B10" s="17" t="s">
        <v>49</v>
      </c>
      <c r="C10" s="17" t="s">
        <v>50</v>
      </c>
      <c r="D10" s="17" t="s">
        <v>51</v>
      </c>
      <c r="E10" s="17" t="s">
        <v>52</v>
      </c>
      <c r="F10" s="17" t="s">
        <v>54</v>
      </c>
      <c r="I10" s="2"/>
      <c r="J10" s="2"/>
    </row>
    <row r="11" spans="1:15" x14ac:dyDescent="0.3">
      <c r="A11" s="9" t="s">
        <v>120</v>
      </c>
      <c r="B11" s="13">
        <v>20000</v>
      </c>
      <c r="C11" s="13" t="s">
        <v>5</v>
      </c>
      <c r="D11" s="13">
        <v>0</v>
      </c>
      <c r="E11" s="11" t="s">
        <v>6</v>
      </c>
      <c r="F11" s="11">
        <v>24</v>
      </c>
      <c r="I11" s="2"/>
      <c r="J11" s="2"/>
    </row>
    <row r="14" spans="1:15" ht="23.4" x14ac:dyDescent="0.45">
      <c r="A14" s="18" t="s">
        <v>161</v>
      </c>
    </row>
    <row r="15" spans="1:15" x14ac:dyDescent="0.3">
      <c r="A15" s="14" t="s">
        <v>103</v>
      </c>
      <c r="B15" s="17" t="s">
        <v>49</v>
      </c>
      <c r="C15" s="15" t="s">
        <v>50</v>
      </c>
      <c r="D15" s="17" t="s">
        <v>51</v>
      </c>
      <c r="E15" s="15" t="s">
        <v>52</v>
      </c>
      <c r="F15" s="17" t="s">
        <v>54</v>
      </c>
    </row>
    <row r="16" spans="1:15" x14ac:dyDescent="0.3">
      <c r="A16" s="7" t="s">
        <v>120</v>
      </c>
      <c r="B16" s="12">
        <v>20000</v>
      </c>
      <c r="C16" s="1" t="s">
        <v>5</v>
      </c>
      <c r="D16" s="12">
        <v>0</v>
      </c>
      <c r="E16" s="1" t="s">
        <v>6</v>
      </c>
      <c r="F16" s="12">
        <v>24</v>
      </c>
      <c r="H16" s="7"/>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mergeCells count="1">
    <mergeCell ref="B6:O8"/>
  </mergeCells>
  <phoneticPr fontId="1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N22"/>
  <sheetViews>
    <sheetView topLeftCell="A2" zoomScaleNormal="100" workbookViewId="0">
      <selection activeCell="H28" sqref="H28"/>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14" ht="21" x14ac:dyDescent="0.4">
      <c r="A1" s="43" t="s">
        <v>85</v>
      </c>
      <c r="B1" s="42" t="s">
        <v>166</v>
      </c>
    </row>
    <row r="2" spans="1:14" ht="18" x14ac:dyDescent="0.35">
      <c r="B2" s="41" t="s">
        <v>165</v>
      </c>
    </row>
    <row r="5" spans="1:14" ht="14.4" x14ac:dyDescent="0.3">
      <c r="B5" s="1" t="s">
        <v>150</v>
      </c>
    </row>
    <row r="6" spans="1:14" ht="14.4" x14ac:dyDescent="0.3">
      <c r="A6" s="3" t="s">
        <v>53</v>
      </c>
      <c r="B6" s="1" t="s">
        <v>184</v>
      </c>
    </row>
    <row r="7" spans="1:14" ht="14.4" x14ac:dyDescent="0.3">
      <c r="A7" s="3" t="s">
        <v>152</v>
      </c>
      <c r="B7" s="54" t="s">
        <v>185</v>
      </c>
      <c r="C7" s="54"/>
      <c r="D7" s="54"/>
      <c r="E7" s="54"/>
      <c r="F7" s="54"/>
      <c r="G7" s="54"/>
      <c r="H7" s="54"/>
      <c r="I7" s="54"/>
      <c r="J7" s="54"/>
      <c r="K7" s="54"/>
      <c r="L7" s="54"/>
      <c r="M7" s="54"/>
      <c r="N7" s="54"/>
    </row>
    <row r="10" spans="1:14" ht="23.4" x14ac:dyDescent="0.45">
      <c r="A10" s="18" t="s">
        <v>161</v>
      </c>
    </row>
    <row r="11" spans="1:14" ht="14.4" x14ac:dyDescent="0.3">
      <c r="A11" s="33" t="s">
        <v>86</v>
      </c>
      <c r="B11" s="17" t="s">
        <v>87</v>
      </c>
      <c r="C11" s="17" t="s">
        <v>88</v>
      </c>
    </row>
    <row r="12" spans="1:14" ht="14.4" x14ac:dyDescent="0.3">
      <c r="A12" s="33">
        <v>44927</v>
      </c>
      <c r="B12" s="17" t="s">
        <v>59</v>
      </c>
      <c r="C12" s="17">
        <v>200</v>
      </c>
    </row>
    <row r="13" spans="1:14" ht="14.4" x14ac:dyDescent="0.3">
      <c r="A13" s="33">
        <v>44928</v>
      </c>
      <c r="B13" s="17" t="s">
        <v>60</v>
      </c>
      <c r="C13" s="17" t="e">
        <v>#N/A</v>
      </c>
    </row>
    <row r="14" spans="1:14" ht="14.4" x14ac:dyDescent="0.3">
      <c r="A14" s="33">
        <v>44929</v>
      </c>
      <c r="B14" s="17" t="s">
        <v>61</v>
      </c>
      <c r="C14" s="17">
        <v>50</v>
      </c>
    </row>
    <row r="15" spans="1:14" ht="14.4" x14ac:dyDescent="0.3">
      <c r="A15" s="33">
        <v>44930</v>
      </c>
      <c r="B15" s="17" t="s">
        <v>62</v>
      </c>
      <c r="C15" s="17" t="e">
        <v>#N/A</v>
      </c>
    </row>
    <row r="16" spans="1:14" ht="14.4" x14ac:dyDescent="0.3">
      <c r="A16" s="33">
        <v>44931</v>
      </c>
      <c r="B16" s="17" t="s">
        <v>63</v>
      </c>
      <c r="C16" s="17">
        <v>10</v>
      </c>
    </row>
    <row r="17" spans="1:3" ht="14.4" x14ac:dyDescent="0.3">
      <c r="A17" s="33">
        <v>44932</v>
      </c>
      <c r="B17" s="17" t="s">
        <v>153</v>
      </c>
      <c r="C17" s="17">
        <v>150</v>
      </c>
    </row>
    <row r="18" spans="1:3" ht="14.4" x14ac:dyDescent="0.3">
      <c r="A18" s="33">
        <v>44933</v>
      </c>
      <c r="B18" s="17" t="s">
        <v>154</v>
      </c>
      <c r="C18" s="17">
        <v>80</v>
      </c>
    </row>
    <row r="19" spans="1:3" ht="14.4" x14ac:dyDescent="0.3">
      <c r="A19" s="33">
        <v>44934</v>
      </c>
      <c r="B19" s="17" t="s">
        <v>155</v>
      </c>
      <c r="C19" s="17" t="e">
        <v>#N/A</v>
      </c>
    </row>
    <row r="20" spans="1:3" ht="14.4" x14ac:dyDescent="0.3">
      <c r="A20" s="33">
        <v>44935</v>
      </c>
      <c r="B20" s="17" t="s">
        <v>156</v>
      </c>
      <c r="C20" s="17">
        <v>30</v>
      </c>
    </row>
    <row r="21" spans="1:3" ht="14.4" x14ac:dyDescent="0.3">
      <c r="A21" s="33">
        <v>44936</v>
      </c>
      <c r="B21" s="17" t="s">
        <v>157</v>
      </c>
      <c r="C21" s="17" t="e">
        <v>#N/A</v>
      </c>
    </row>
    <row r="22" spans="1:3" ht="14.4" x14ac:dyDescent="0.3">
      <c r="B22" s="17" t="s">
        <v>158</v>
      </c>
      <c r="C22" s="25" cm="1">
        <f t="array" ref="C22">SUM(IFERROR(C12:C21, 20))</f>
        <v>600</v>
      </c>
    </row>
  </sheetData>
  <mergeCells count="1">
    <mergeCell ref="B7:N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P35"/>
  <sheetViews>
    <sheetView tabSelected="1" zoomScaleNormal="100" workbookViewId="0">
      <selection activeCell="K23" sqref="K23"/>
    </sheetView>
  </sheetViews>
  <sheetFormatPr defaultColWidth="11" defaultRowHeight="13.8" x14ac:dyDescent="0.3"/>
  <cols>
    <col min="1" max="1" width="28.21875" style="2" bestFit="1" customWidth="1"/>
    <col min="2" max="16384" width="11" style="2"/>
  </cols>
  <sheetData>
    <row r="1" spans="1:16" ht="21" x14ac:dyDescent="0.4">
      <c r="A1" s="43" t="s">
        <v>98</v>
      </c>
      <c r="B1" s="42" t="s">
        <v>174</v>
      </c>
    </row>
    <row r="3" spans="1:16" ht="14.4" x14ac:dyDescent="0.3">
      <c r="B3" s="1" t="s">
        <v>150</v>
      </c>
    </row>
    <row r="4" spans="1:16" ht="18" x14ac:dyDescent="0.35">
      <c r="A4" s="44" t="s">
        <v>53</v>
      </c>
      <c r="B4" s="1"/>
      <c r="C4" s="56" t="s">
        <v>186</v>
      </c>
      <c r="D4" s="56"/>
      <c r="E4" s="56"/>
      <c r="F4" s="56"/>
      <c r="G4" s="56"/>
      <c r="H4" s="56"/>
      <c r="I4" s="56"/>
      <c r="J4" s="56"/>
      <c r="K4" s="56"/>
      <c r="L4" s="56"/>
      <c r="M4" s="56"/>
    </row>
    <row r="5" spans="1:16" ht="18" x14ac:dyDescent="0.35">
      <c r="A5" s="44" t="s">
        <v>152</v>
      </c>
      <c r="B5" s="1"/>
      <c r="C5" s="55" t="s">
        <v>187</v>
      </c>
      <c r="D5" s="55"/>
      <c r="E5" s="55"/>
      <c r="F5" s="55"/>
      <c r="G5" s="55"/>
      <c r="H5" s="55"/>
      <c r="I5" s="55"/>
      <c r="J5" s="55"/>
      <c r="K5" s="55"/>
      <c r="L5" s="55"/>
      <c r="M5" s="55"/>
      <c r="N5" s="55"/>
      <c r="O5" s="55"/>
      <c r="P5" s="55"/>
    </row>
    <row r="6" spans="1:16" ht="14.4" x14ac:dyDescent="0.3">
      <c r="A6" s="3"/>
      <c r="B6" s="1"/>
      <c r="C6" s="55"/>
      <c r="D6" s="55"/>
      <c r="E6" s="55"/>
      <c r="F6" s="55"/>
      <c r="G6" s="55"/>
      <c r="H6" s="55"/>
      <c r="I6" s="55"/>
      <c r="J6" s="55"/>
      <c r="K6" s="55"/>
      <c r="L6" s="55"/>
      <c r="M6" s="55"/>
      <c r="N6" s="55"/>
      <c r="O6" s="55"/>
      <c r="P6" s="55"/>
    </row>
    <row r="7" spans="1:16" x14ac:dyDescent="0.3">
      <c r="C7" s="55"/>
      <c r="D7" s="55"/>
      <c r="E7" s="55"/>
      <c r="F7" s="55"/>
      <c r="G7" s="55"/>
      <c r="H7" s="55"/>
      <c r="I7" s="55"/>
      <c r="J7" s="55"/>
      <c r="K7" s="55"/>
      <c r="L7" s="55"/>
      <c r="M7" s="55"/>
      <c r="N7" s="55"/>
      <c r="O7" s="55"/>
      <c r="P7" s="55"/>
    </row>
    <row r="8" spans="1:16" ht="23.4" x14ac:dyDescent="0.45">
      <c r="A8" s="18" t="s">
        <v>161</v>
      </c>
      <c r="M8" s="18" t="s">
        <v>162</v>
      </c>
    </row>
    <row r="9" spans="1:16" ht="14.4" x14ac:dyDescent="0.3">
      <c r="A9" s="26"/>
      <c r="B9" s="26" t="s">
        <v>89</v>
      </c>
      <c r="C9" s="26" t="s">
        <v>90</v>
      </c>
      <c r="D9" s="26" t="s">
        <v>91</v>
      </c>
      <c r="E9" s="26" t="s">
        <v>92</v>
      </c>
      <c r="F9" s="26" t="s">
        <v>93</v>
      </c>
      <c r="G9" s="26" t="s">
        <v>94</v>
      </c>
      <c r="H9" s="26" t="s">
        <v>95</v>
      </c>
      <c r="I9" s="26" t="s">
        <v>96</v>
      </c>
      <c r="J9" s="26" t="s">
        <v>97</v>
      </c>
      <c r="M9" s="19" t="s">
        <v>43</v>
      </c>
      <c r="N9" s="19" t="s">
        <v>99</v>
      </c>
    </row>
    <row r="10" spans="1:16" ht="14.4" x14ac:dyDescent="0.3">
      <c r="A10" s="26" t="s">
        <v>89</v>
      </c>
      <c r="B10" s="25">
        <v>-1</v>
      </c>
      <c r="C10" s="25">
        <v>95</v>
      </c>
      <c r="D10" s="25">
        <v>-1</v>
      </c>
      <c r="E10" s="25">
        <v>185</v>
      </c>
      <c r="F10" s="25">
        <v>255</v>
      </c>
      <c r="G10" s="25">
        <v>305</v>
      </c>
      <c r="H10" s="25">
        <v>415</v>
      </c>
      <c r="I10" s="25">
        <v>480</v>
      </c>
      <c r="J10" s="25">
        <v>525</v>
      </c>
      <c r="M10" s="12">
        <v>10100</v>
      </c>
      <c r="N10" s="12" t="s">
        <v>89</v>
      </c>
    </row>
    <row r="11" spans="1:16" ht="14.4" x14ac:dyDescent="0.3">
      <c r="A11" s="26" t="s">
        <v>90</v>
      </c>
      <c r="B11" s="25">
        <v>95</v>
      </c>
      <c r="C11" s="25">
        <v>-1</v>
      </c>
      <c r="D11" s="25">
        <v>-1</v>
      </c>
      <c r="E11" s="25">
        <v>90</v>
      </c>
      <c r="F11" s="25">
        <v>160</v>
      </c>
      <c r="G11" s="25">
        <v>210</v>
      </c>
      <c r="H11" s="25">
        <v>325</v>
      </c>
      <c r="I11" s="25">
        <v>390</v>
      </c>
      <c r="J11" s="25">
        <v>430</v>
      </c>
      <c r="M11" s="12">
        <v>10102</v>
      </c>
      <c r="N11" s="12" t="s">
        <v>90</v>
      </c>
    </row>
    <row r="12" spans="1:16" ht="14.4" x14ac:dyDescent="0.3">
      <c r="A12" s="26" t="s">
        <v>91</v>
      </c>
      <c r="B12" s="25">
        <v>-1</v>
      </c>
      <c r="C12" s="25">
        <v>-1</v>
      </c>
      <c r="D12" s="25">
        <v>-1</v>
      </c>
      <c r="E12" s="25">
        <v>60</v>
      </c>
      <c r="F12" s="25">
        <v>130</v>
      </c>
      <c r="G12" s="25">
        <v>180</v>
      </c>
      <c r="H12" s="25">
        <v>295</v>
      </c>
      <c r="I12" s="25">
        <v>355</v>
      </c>
      <c r="J12" s="25">
        <v>400</v>
      </c>
      <c r="M12" s="12">
        <v>10104</v>
      </c>
      <c r="N12" s="12" t="s">
        <v>91</v>
      </c>
    </row>
    <row r="13" spans="1:16" ht="14.4" x14ac:dyDescent="0.3">
      <c r="A13" s="26" t="s">
        <v>92</v>
      </c>
      <c r="B13" s="25">
        <v>185</v>
      </c>
      <c r="C13" s="25">
        <v>90</v>
      </c>
      <c r="D13" s="25">
        <v>60</v>
      </c>
      <c r="E13" s="25">
        <v>-1</v>
      </c>
      <c r="F13" s="25">
        <v>70</v>
      </c>
      <c r="G13" s="25">
        <v>120</v>
      </c>
      <c r="H13" s="25">
        <v>235</v>
      </c>
      <c r="I13" s="25">
        <v>300</v>
      </c>
      <c r="J13" s="25">
        <v>340</v>
      </c>
      <c r="M13" s="12">
        <v>10106</v>
      </c>
      <c r="N13" s="12" t="s">
        <v>92</v>
      </c>
    </row>
    <row r="14" spans="1:16" ht="14.4" x14ac:dyDescent="0.3">
      <c r="A14" s="26" t="s">
        <v>93</v>
      </c>
      <c r="B14" s="25">
        <v>255</v>
      </c>
      <c r="C14" s="25">
        <v>160</v>
      </c>
      <c r="D14" s="25">
        <v>130</v>
      </c>
      <c r="E14" s="25">
        <v>70</v>
      </c>
      <c r="F14" s="25">
        <v>-1</v>
      </c>
      <c r="G14" s="25">
        <v>50</v>
      </c>
      <c r="H14" s="25">
        <v>165</v>
      </c>
      <c r="I14" s="25">
        <v>230</v>
      </c>
      <c r="J14" s="25">
        <v>270</v>
      </c>
      <c r="M14" s="12">
        <v>10108</v>
      </c>
      <c r="N14" s="12" t="s">
        <v>93</v>
      </c>
    </row>
    <row r="15" spans="1:16" ht="14.4" x14ac:dyDescent="0.3">
      <c r="A15" s="26" t="s">
        <v>94</v>
      </c>
      <c r="B15" s="25">
        <v>305</v>
      </c>
      <c r="C15" s="25">
        <v>210</v>
      </c>
      <c r="D15" s="25">
        <v>180</v>
      </c>
      <c r="E15" s="25">
        <v>120</v>
      </c>
      <c r="F15" s="25">
        <v>50</v>
      </c>
      <c r="G15" s="25">
        <v>-1</v>
      </c>
      <c r="H15" s="25">
        <v>115</v>
      </c>
      <c r="I15" s="25">
        <v>180</v>
      </c>
      <c r="J15" s="25">
        <v>220</v>
      </c>
      <c r="M15" s="12">
        <v>10110</v>
      </c>
      <c r="N15" s="12" t="s">
        <v>94</v>
      </c>
    </row>
    <row r="16" spans="1:16"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167</v>
      </c>
    </row>
    <row r="22" spans="1:14" ht="14.4" x14ac:dyDescent="0.3">
      <c r="A22" s="14" t="s">
        <v>100</v>
      </c>
      <c r="B22" s="17" t="s">
        <v>101</v>
      </c>
      <c r="C22" s="16" t="s">
        <v>102</v>
      </c>
    </row>
    <row r="23" spans="1:14" ht="14.4" x14ac:dyDescent="0.3">
      <c r="A23" s="7">
        <v>10100</v>
      </c>
      <c r="B23" s="12">
        <v>10102</v>
      </c>
      <c r="C23" s="57">
        <f>INDEX($B$9:$J$18, MATCH(VLOOKUP(A23, $M$9:$N$18, 2, FALSE), $A$9:$A$18, 0), MATCH(VLOOKUP(B23, $M$9:$N$18, 2, FALSE), $B$9:$J$9, 0))</f>
        <v>95</v>
      </c>
    </row>
    <row r="24" spans="1:14" ht="14.4" x14ac:dyDescent="0.3">
      <c r="A24" s="7">
        <v>10100</v>
      </c>
      <c r="B24" s="12">
        <v>10104</v>
      </c>
      <c r="C24" s="38">
        <f>INDEX($B$9:$J$18, MATCH(VLOOKUP(A24, $M$9:$N$18, 2, FALSE), $A$9:$A$18, 0), MATCH(VLOOKUP(B24, $M$9:$N$18, 2, FALSE), $B$9:$J$9, 0))</f>
        <v>-1</v>
      </c>
    </row>
    <row r="25" spans="1:14" ht="14.4" x14ac:dyDescent="0.3">
      <c r="A25" s="7">
        <v>10108</v>
      </c>
      <c r="B25" s="12">
        <v>10102</v>
      </c>
      <c r="C25" s="38">
        <f t="shared" ref="C24:C35" si="0">INDEX($B$9:$J$18, MATCH(VLOOKUP(A25, $M$9:$N$18, 2, FALSE), $A$9:$A$18, 0), MATCH(VLOOKUP(B25, $M$9:$N$18, 2, FALSE), $B$9:$J$9, 0))</f>
        <v>160</v>
      </c>
    </row>
    <row r="26" spans="1:14" ht="14.4" x14ac:dyDescent="0.3">
      <c r="A26" s="7">
        <v>10100</v>
      </c>
      <c r="B26" s="12">
        <v>10106</v>
      </c>
      <c r="C26" s="38">
        <f t="shared" si="0"/>
        <v>185</v>
      </c>
    </row>
    <row r="27" spans="1:14" ht="14.4" x14ac:dyDescent="0.3">
      <c r="A27" s="7">
        <v>10108</v>
      </c>
      <c r="B27" s="12">
        <v>10110</v>
      </c>
      <c r="C27" s="38">
        <f t="shared" si="0"/>
        <v>50</v>
      </c>
    </row>
    <row r="28" spans="1:14" ht="14.4" x14ac:dyDescent="0.3">
      <c r="A28" s="7">
        <v>10102</v>
      </c>
      <c r="B28" s="12">
        <v>10104</v>
      </c>
      <c r="C28" s="38">
        <f t="shared" si="0"/>
        <v>-1</v>
      </c>
    </row>
    <row r="29" spans="1:14" ht="14.4" x14ac:dyDescent="0.3">
      <c r="A29" s="7">
        <v>10106</v>
      </c>
      <c r="B29" s="12">
        <v>10108</v>
      </c>
      <c r="C29" s="38">
        <f t="shared" si="0"/>
        <v>70</v>
      </c>
    </row>
    <row r="30" spans="1:14" ht="14.4" x14ac:dyDescent="0.3">
      <c r="A30" s="7">
        <v>10102</v>
      </c>
      <c r="B30" s="12">
        <v>10106</v>
      </c>
      <c r="C30" s="38">
        <f t="shared" si="0"/>
        <v>90</v>
      </c>
    </row>
    <row r="31" spans="1:14" ht="14.4" x14ac:dyDescent="0.3">
      <c r="A31" s="7">
        <v>10110</v>
      </c>
      <c r="B31" s="12">
        <v>10114</v>
      </c>
      <c r="C31" s="38">
        <f t="shared" si="0"/>
        <v>180</v>
      </c>
    </row>
    <row r="32" spans="1:14" ht="14.4" x14ac:dyDescent="0.3">
      <c r="A32" s="7">
        <v>10104</v>
      </c>
      <c r="B32" s="12">
        <v>10106</v>
      </c>
      <c r="C32" s="38">
        <f t="shared" si="0"/>
        <v>60</v>
      </c>
    </row>
    <row r="33" spans="1:3" ht="14.4" x14ac:dyDescent="0.3">
      <c r="A33" s="7">
        <v>10110</v>
      </c>
      <c r="B33" s="12">
        <v>10112</v>
      </c>
      <c r="C33" s="38">
        <f t="shared" si="0"/>
        <v>115</v>
      </c>
    </row>
    <row r="34" spans="1:3" ht="14.4" x14ac:dyDescent="0.3">
      <c r="A34" s="7">
        <v>10100</v>
      </c>
      <c r="B34" s="12">
        <v>10114</v>
      </c>
      <c r="C34" s="38">
        <f t="shared" si="0"/>
        <v>480</v>
      </c>
    </row>
    <row r="35" spans="1:3" ht="14.4" x14ac:dyDescent="0.3">
      <c r="A35" s="9">
        <v>10112</v>
      </c>
      <c r="B35" s="13">
        <v>10116</v>
      </c>
      <c r="C35" s="58">
        <f t="shared" si="0"/>
        <v>105</v>
      </c>
    </row>
  </sheetData>
  <mergeCells count="2">
    <mergeCell ref="C5:P7"/>
    <mergeCell ref="C4:M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Instructions</vt:lpstr>
      <vt:lpstr>Dataset</vt:lpstr>
      <vt:lpstr>Task_1</vt:lpstr>
      <vt:lpstr>Task_1.1</vt:lpstr>
      <vt:lpstr>Task_1.2</vt:lpstr>
      <vt:lpstr>Task_1.3</vt:lpstr>
      <vt:lpstr>Task_1.4</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PALLAVI KHOBRAGADE</cp:lastModifiedBy>
  <dcterms:created xsi:type="dcterms:W3CDTF">2015-02-10T17:33:11Z</dcterms:created>
  <dcterms:modified xsi:type="dcterms:W3CDTF">2024-10-24T16:58:37Z</dcterms:modified>
</cp:coreProperties>
</file>